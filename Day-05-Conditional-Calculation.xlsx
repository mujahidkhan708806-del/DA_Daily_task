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ditional Calc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<sst xmlns="http://schemas.openxmlformats.org/spreadsheetml/2006/main" count="36" uniqueCount="16">
  <si>
    <t xml:space="preserve">Region</t>
  </si>
  <si>
    <t xml:space="preserve">Units</t>
  </si>
  <si>
    <t xml:space="preserve">Unit Price</t>
  </si>
  <si>
    <t xml:space="preserve">Revenue</t>
  </si>
  <si>
    <t xml:space="preserve">Discount</t>
  </si>
  <si>
    <t xml:space="preserve">Net Revenue</t>
  </si>
  <si>
    <t xml:space="preserve">Commission</t>
  </si>
  <si>
    <t xml:space="preserve">Conditional Calculations</t>
  </si>
  <si>
    <t xml:space="preserve">North</t>
  </si>
  <si>
    <t xml:space="preserve">North Revenue</t>
  </si>
  <si>
    <t xml:space="preserve">West</t>
  </si>
  <si>
    <t xml:space="preserve">West Revenue</t>
  </si>
  <si>
    <t xml:space="preserve">South</t>
  </si>
  <si>
    <t xml:space="preserve">High-Value Transactions</t>
  </si>
  <si>
    <t xml:space="preserve">East</t>
  </si>
  <si>
    <t xml:space="preserve">Average North Revenue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</si>
</sst>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s">
        <v>8</v>
      </c>
      <c r="B2" s="3" t="n">
        <v>2</v>
      </c>
      <c r="C2" s="4" t="n">
        <v>65000</v>
      </c>
      <c r="D2" s="4" t="n">
        <f aca="false">B2*C2</f>
        <v>130000</v>
      </c>
      <c r="E2" s="5" t="n">
        <f aca="false">IF(D2&gt;=100000,10%,IF(D2&gt;=50000,5%,2%))</f>
        <v>0.1</v>
      </c>
      <c r="F2" s="4" t="n">
        <f aca="false">D2*(1-E2)</f>
        <v>117000</v>
      </c>
      <c r="G2" s="4" t="n">
        <f aca="false">F2*3%</f>
        <v>3510</v>
      </c>
      <c r="I2" s="0" t="s">
        <v>9</v>
      </c>
      <c r="J2" s="0" t="n">
        <f aca="false">SUMIF(A2:A25,"North",D2:D25)</f>
        <v>516500</v>
      </c>
    </row>
    <row r="3" customFormat="false" ht="15" hidden="false" customHeight="false" outlineLevel="0" collapsed="false">
      <c r="A3" s="3" t="s">
        <v>10</v>
      </c>
      <c r="B3" s="3" t="n">
        <v>10</v>
      </c>
      <c r="C3" s="4" t="n">
        <v>2500</v>
      </c>
      <c r="D3" s="4" t="n">
        <f aca="false">B3*C3</f>
        <v>25000</v>
      </c>
      <c r="E3" s="5" t="n">
        <f aca="false">IF(D3&gt;=100000,10%,IF(D3&gt;=50000,5%,2%))</f>
        <v>0.02</v>
      </c>
      <c r="F3" s="4" t="n">
        <f aca="false">D3*(1-E3)</f>
        <v>24500</v>
      </c>
      <c r="G3" s="4" t="n">
        <f aca="false">F3*3%</f>
        <v>735</v>
      </c>
      <c r="I3" s="0" t="s">
        <v>11</v>
      </c>
      <c r="J3" s="0" t="n">
        <f aca="false">SUMIF(A2:A25,"West",D2:D25)</f>
        <v>593000</v>
      </c>
    </row>
    <row r="4" customFormat="false" ht="15" hidden="false" customHeight="false" outlineLevel="0" collapsed="false">
      <c r="A4" s="3" t="s">
        <v>12</v>
      </c>
      <c r="B4" s="3" t="n">
        <v>4</v>
      </c>
      <c r="C4" s="4" t="n">
        <v>12000</v>
      </c>
      <c r="D4" s="4" t="n">
        <f aca="false">B4*C4</f>
        <v>48000</v>
      </c>
      <c r="E4" s="5" t="n">
        <f aca="false">IF(D4&gt;=100000,10%,IF(D4&gt;=50000,5%,2%))</f>
        <v>0.02</v>
      </c>
      <c r="F4" s="4" t="n">
        <f aca="false">D4*(1-E4)</f>
        <v>47040</v>
      </c>
      <c r="G4" s="4" t="n">
        <f aca="false">F4*3%</f>
        <v>1411.2</v>
      </c>
      <c r="I4" s="0" t="s">
        <v>13</v>
      </c>
      <c r="J4" s="0" t="n">
        <f aca="false">COUNTIF(D2:D25,"&gt;=50000")</f>
        <v>18</v>
      </c>
    </row>
    <row r="5" customFormat="false" ht="15" hidden="false" customHeight="false" outlineLevel="0" collapsed="false">
      <c r="A5" s="3" t="s">
        <v>14</v>
      </c>
      <c r="B5" s="3" t="n">
        <v>8</v>
      </c>
      <c r="C5" s="4" t="n">
        <v>18000</v>
      </c>
      <c r="D5" s="4" t="n">
        <f aca="false">B5*C5</f>
        <v>144000</v>
      </c>
      <c r="E5" s="5" t="n">
        <f aca="false">IF(D5&gt;=100000,10%,IF(D5&gt;=50000,5%,2%))</f>
        <v>0.1</v>
      </c>
      <c r="F5" s="4" t="n">
        <f aca="false">D5*(1-E5)</f>
        <v>129600</v>
      </c>
      <c r="G5" s="4" t="n">
        <f aca="false">F5*3%</f>
        <v>3888</v>
      </c>
      <c r="I5" s="0" t="s">
        <v>15</v>
      </c>
      <c r="J5" s="0" t="n">
        <f aca="false">AVERAGEIF(A2:A25,"North",D2:D25)</f>
        <v>86083.3333333333</v>
      </c>
    </row>
    <row r="6" customFormat="false" ht="15" hidden="false" customHeight="false" outlineLevel="0" collapsed="false">
      <c r="A6" s="3" t="s">
        <v>8</v>
      </c>
      <c r="B6" s="3" t="n">
        <v>15</v>
      </c>
      <c r="C6" s="4" t="n">
        <v>1500</v>
      </c>
      <c r="D6" s="4" t="n">
        <f aca="false">B6*C6</f>
        <v>22500</v>
      </c>
      <c r="E6" s="5" t="n">
        <f aca="false">IF(D6&gt;=100000,10%,IF(D6&gt;=50000,5%,2%))</f>
        <v>0.02</v>
      </c>
      <c r="F6" s="4" t="n">
        <f aca="false">D6*(1-E6)</f>
        <v>22050</v>
      </c>
      <c r="G6" s="4" t="n">
        <f aca="false">F6*3%</f>
        <v>661.5</v>
      </c>
    </row>
    <row r="7" customFormat="false" ht="15" hidden="false" customHeight="false" outlineLevel="0" collapsed="false">
      <c r="A7" s="3" t="s">
        <v>10</v>
      </c>
      <c r="B7" s="3" t="n">
        <v>5</v>
      </c>
      <c r="C7" s="4" t="n">
        <v>9000</v>
      </c>
      <c r="D7" s="4" t="n">
        <f aca="false">B7*C7</f>
        <v>45000</v>
      </c>
      <c r="E7" s="5" t="n">
        <f aca="false">IF(D7&gt;=100000,10%,IF(D7&gt;=50000,5%,2%))</f>
        <v>0.02</v>
      </c>
      <c r="F7" s="4" t="n">
        <f aca="false">D7*(1-E7)</f>
        <v>44100</v>
      </c>
      <c r="G7" s="4" t="n">
        <f aca="false">F7*3%</f>
        <v>1323</v>
      </c>
    </row>
    <row r="8" customFormat="false" ht="15" hidden="false" customHeight="false" outlineLevel="0" collapsed="false">
      <c r="A8" s="3" t="s">
        <v>12</v>
      </c>
      <c r="B8" s="3" t="n">
        <v>12</v>
      </c>
      <c r="C8" s="4" t="n">
        <v>3500</v>
      </c>
      <c r="D8" s="4" t="n">
        <f aca="false">B8*C8</f>
        <v>42000</v>
      </c>
      <c r="E8" s="5" t="n">
        <f aca="false">IF(D8&gt;=100000,10%,IF(D8&gt;=50000,5%,2%))</f>
        <v>0.02</v>
      </c>
      <c r="F8" s="4" t="n">
        <f aca="false">D8*(1-E8)</f>
        <v>41160</v>
      </c>
      <c r="G8" s="4" t="n">
        <f aca="false">F8*3%</f>
        <v>1234.8</v>
      </c>
    </row>
    <row r="9" customFormat="false" ht="15" hidden="false" customHeight="false" outlineLevel="0" collapsed="false">
      <c r="A9" s="3" t="s">
        <v>14</v>
      </c>
      <c r="B9" s="3" t="n">
        <v>3</v>
      </c>
      <c r="C9" s="4" t="n">
        <v>22000</v>
      </c>
      <c r="D9" s="4" t="n">
        <f aca="false">B9*C9</f>
        <v>66000</v>
      </c>
      <c r="E9" s="5" t="n">
        <f aca="false">IF(D9&gt;=100000,10%,IF(D9&gt;=50000,5%,2%))</f>
        <v>0.05</v>
      </c>
      <c r="F9" s="4" t="n">
        <f aca="false">D9*(1-E9)</f>
        <v>62700</v>
      </c>
      <c r="G9" s="4" t="n">
        <f aca="false">F9*3%</f>
        <v>1881</v>
      </c>
    </row>
    <row r="10" customFormat="false" ht="15" hidden="false" customHeight="false" outlineLevel="0" collapsed="false">
      <c r="A10" s="3" t="s">
        <v>8</v>
      </c>
      <c r="B10" s="3" t="n">
        <v>7</v>
      </c>
      <c r="C10" s="4" t="n">
        <v>18000</v>
      </c>
      <c r="D10" s="4" t="n">
        <f aca="false">B10*C10</f>
        <v>126000</v>
      </c>
      <c r="E10" s="5" t="n">
        <f aca="false">IF(D10&gt;=100000,10%,IF(D10&gt;=50000,5%,2%))</f>
        <v>0.1</v>
      </c>
      <c r="F10" s="4" t="n">
        <f aca="false">D10*(1-E10)</f>
        <v>113400</v>
      </c>
      <c r="G10" s="4" t="n">
        <f aca="false">F10*3%</f>
        <v>3402</v>
      </c>
    </row>
    <row r="11" customFormat="false" ht="15" hidden="false" customHeight="false" outlineLevel="0" collapsed="false">
      <c r="A11" s="3" t="s">
        <v>10</v>
      </c>
      <c r="B11" s="3" t="n">
        <v>3</v>
      </c>
      <c r="C11" s="4" t="n">
        <v>65000</v>
      </c>
      <c r="D11" s="4" t="n">
        <f aca="false">B11*C11</f>
        <v>195000</v>
      </c>
      <c r="E11" s="5" t="n">
        <f aca="false">IF(D11&gt;=100000,10%,IF(D11&gt;=50000,5%,2%))</f>
        <v>0.1</v>
      </c>
      <c r="F11" s="4" t="n">
        <f aca="false">D11*(1-E11)</f>
        <v>175500</v>
      </c>
      <c r="G11" s="4" t="n">
        <f aca="false">F11*3%</f>
        <v>5265</v>
      </c>
    </row>
    <row r="12" customFormat="false" ht="15" hidden="false" customHeight="false" outlineLevel="0" collapsed="false">
      <c r="A12" s="3" t="s">
        <v>12</v>
      </c>
      <c r="B12" s="3" t="n">
        <v>20</v>
      </c>
      <c r="C12" s="4" t="n">
        <v>2500</v>
      </c>
      <c r="D12" s="4" t="n">
        <f aca="false">B12*C12</f>
        <v>50000</v>
      </c>
      <c r="E12" s="5" t="n">
        <f aca="false">IF(D12&gt;=100000,10%,IF(D12&gt;=50000,5%,2%))</f>
        <v>0.05</v>
      </c>
      <c r="F12" s="4" t="n">
        <f aca="false">D12*(1-E12)</f>
        <v>47500</v>
      </c>
      <c r="G12" s="4" t="n">
        <f aca="false">F12*3%</f>
        <v>1425</v>
      </c>
    </row>
    <row r="13" customFormat="false" ht="15" hidden="false" customHeight="false" outlineLevel="0" collapsed="false">
      <c r="A13" s="3" t="s">
        <v>14</v>
      </c>
      <c r="B13" s="3" t="n">
        <v>6</v>
      </c>
      <c r="C13" s="4" t="n">
        <v>12000</v>
      </c>
      <c r="D13" s="4" t="n">
        <f aca="false">B13*C13</f>
        <v>72000</v>
      </c>
      <c r="E13" s="5" t="n">
        <f aca="false">IF(D13&gt;=100000,10%,IF(D13&gt;=50000,5%,2%))</f>
        <v>0.05</v>
      </c>
      <c r="F13" s="4" t="n">
        <f aca="false">D13*(1-E13)</f>
        <v>68400</v>
      </c>
      <c r="G13" s="4" t="n">
        <f aca="false">F13*3%</f>
        <v>2052</v>
      </c>
    </row>
    <row r="14" customFormat="false" ht="15" hidden="false" customHeight="false" outlineLevel="0" collapsed="false">
      <c r="A14" s="3" t="s">
        <v>8</v>
      </c>
      <c r="B14" s="3" t="n">
        <v>7</v>
      </c>
      <c r="C14" s="4" t="n">
        <v>9000</v>
      </c>
      <c r="D14" s="4" t="n">
        <f aca="false">B14*C14</f>
        <v>63000</v>
      </c>
      <c r="E14" s="5" t="n">
        <f aca="false">IF(D14&gt;=100000,10%,IF(D14&gt;=50000,5%,2%))</f>
        <v>0.05</v>
      </c>
      <c r="F14" s="4" t="n">
        <f aca="false">D14*(1-E14)</f>
        <v>59850</v>
      </c>
      <c r="G14" s="4" t="n">
        <f aca="false">F14*3%</f>
        <v>1795.5</v>
      </c>
    </row>
    <row r="15" customFormat="false" ht="15" hidden="false" customHeight="false" outlineLevel="0" collapsed="false">
      <c r="A15" s="3" t="s">
        <v>10</v>
      </c>
      <c r="B15" s="3" t="n">
        <v>4</v>
      </c>
      <c r="C15" s="4" t="n">
        <v>22000</v>
      </c>
      <c r="D15" s="4" t="n">
        <f aca="false">B15*C15</f>
        <v>88000</v>
      </c>
      <c r="E15" s="5" t="n">
        <f aca="false">IF(D15&gt;=100000,10%,IF(D15&gt;=50000,5%,2%))</f>
        <v>0.05</v>
      </c>
      <c r="F15" s="4" t="n">
        <f aca="false">D15*(1-E15)</f>
        <v>83600</v>
      </c>
      <c r="G15" s="4" t="n">
        <f aca="false">F15*3%</f>
        <v>2508</v>
      </c>
    </row>
    <row r="16" customFormat="false" ht="15" hidden="false" customHeight="false" outlineLevel="0" collapsed="false">
      <c r="A16" s="3" t="s">
        <v>12</v>
      </c>
      <c r="B16" s="3" t="n">
        <v>25</v>
      </c>
      <c r="C16" s="4" t="n">
        <v>1500</v>
      </c>
      <c r="D16" s="4" t="n">
        <f aca="false">B16*C16</f>
        <v>37500</v>
      </c>
      <c r="E16" s="5" t="n">
        <f aca="false">IF(D16&gt;=100000,10%,IF(D16&gt;=50000,5%,2%))</f>
        <v>0.02</v>
      </c>
      <c r="F16" s="4" t="n">
        <f aca="false">D16*(1-E16)</f>
        <v>36750</v>
      </c>
      <c r="G16" s="4" t="n">
        <f aca="false">F16*3%</f>
        <v>1102.5</v>
      </c>
    </row>
    <row r="17" customFormat="false" ht="15" hidden="false" customHeight="false" outlineLevel="0" collapsed="false">
      <c r="A17" s="3" t="s">
        <v>14</v>
      </c>
      <c r="B17" s="3" t="n">
        <v>15</v>
      </c>
      <c r="C17" s="4" t="n">
        <v>3500</v>
      </c>
      <c r="D17" s="4" t="n">
        <f aca="false">B17*C17</f>
        <v>52500</v>
      </c>
      <c r="E17" s="5" t="n">
        <f aca="false">IF(D17&gt;=100000,10%,IF(D17&gt;=50000,5%,2%))</f>
        <v>0.05</v>
      </c>
      <c r="F17" s="4" t="n">
        <f aca="false">D17*(1-E17)</f>
        <v>49875</v>
      </c>
      <c r="G17" s="4" t="n">
        <f aca="false">F17*3%</f>
        <v>1496.25</v>
      </c>
    </row>
    <row r="18" customFormat="false" ht="15" hidden="false" customHeight="false" outlineLevel="0" collapsed="false">
      <c r="A18" s="3" t="s">
        <v>8</v>
      </c>
      <c r="B18" s="3" t="n">
        <v>1</v>
      </c>
      <c r="C18" s="4" t="n">
        <v>65000</v>
      </c>
      <c r="D18" s="4" t="n">
        <f aca="false">B18*C18</f>
        <v>65000</v>
      </c>
      <c r="E18" s="5" t="n">
        <f aca="false">IF(D18&gt;=100000,10%,IF(D18&gt;=50000,5%,2%))</f>
        <v>0.05</v>
      </c>
      <c r="F18" s="4" t="n">
        <f aca="false">D18*(1-E18)</f>
        <v>61750</v>
      </c>
      <c r="G18" s="4" t="n">
        <f aca="false">F18*3%</f>
        <v>1852.5</v>
      </c>
    </row>
    <row r="19" customFormat="false" ht="15" hidden="false" customHeight="false" outlineLevel="0" collapsed="false">
      <c r="A19" s="3" t="s">
        <v>10</v>
      </c>
      <c r="B19" s="3" t="n">
        <v>10</v>
      </c>
      <c r="C19" s="4" t="n">
        <v>18000</v>
      </c>
      <c r="D19" s="4" t="n">
        <f aca="false">B19*C19</f>
        <v>180000</v>
      </c>
      <c r="E19" s="5" t="n">
        <f aca="false">IF(D19&gt;=100000,10%,IF(D19&gt;=50000,5%,2%))</f>
        <v>0.1</v>
      </c>
      <c r="F19" s="4" t="n">
        <f aca="false">D19*(1-E19)</f>
        <v>162000</v>
      </c>
      <c r="G19" s="4" t="n">
        <f aca="false">F19*3%</f>
        <v>4860</v>
      </c>
    </row>
    <row r="20" customFormat="false" ht="15" hidden="false" customHeight="false" outlineLevel="0" collapsed="false">
      <c r="A20" s="3" t="s">
        <v>12</v>
      </c>
      <c r="B20" s="3" t="n">
        <v>8</v>
      </c>
      <c r="C20" s="4" t="n">
        <v>9000</v>
      </c>
      <c r="D20" s="4" t="n">
        <f aca="false">B20*C20</f>
        <v>72000</v>
      </c>
      <c r="E20" s="5" t="n">
        <f aca="false">IF(D20&gt;=100000,10%,IF(D20&gt;=50000,5%,2%))</f>
        <v>0.05</v>
      </c>
      <c r="F20" s="4" t="n">
        <f aca="false">D20*(1-E20)</f>
        <v>68400</v>
      </c>
      <c r="G20" s="4" t="n">
        <f aca="false">F20*3%</f>
        <v>2052</v>
      </c>
    </row>
    <row r="21" customFormat="false" ht="15" hidden="false" customHeight="false" outlineLevel="0" collapsed="false">
      <c r="A21" s="3" t="s">
        <v>14</v>
      </c>
      <c r="B21" s="3" t="n">
        <v>30</v>
      </c>
      <c r="C21" s="4" t="n">
        <v>2500</v>
      </c>
      <c r="D21" s="4" t="n">
        <f aca="false">B21*C21</f>
        <v>75000</v>
      </c>
      <c r="E21" s="5" t="n">
        <f aca="false">IF(D21&gt;=100000,10%,IF(D21&gt;=50000,5%,2%))</f>
        <v>0.05</v>
      </c>
      <c r="F21" s="4" t="n">
        <f aca="false">D21*(1-E21)</f>
        <v>71250</v>
      </c>
      <c r="G21" s="4" t="n">
        <f aca="false">F21*3%</f>
        <v>2137.5</v>
      </c>
    </row>
    <row r="22" customFormat="false" ht="15" hidden="false" customHeight="false" outlineLevel="0" collapsed="false">
      <c r="A22" s="3" t="s">
        <v>8</v>
      </c>
      <c r="B22" s="3" t="n">
        <v>5</v>
      </c>
      <c r="C22" s="4" t="n">
        <v>22000</v>
      </c>
      <c r="D22" s="4" t="n">
        <f aca="false">B22*C22</f>
        <v>110000</v>
      </c>
      <c r="E22" s="5" t="n">
        <f aca="false">IF(D22&gt;=100000,10%,IF(D22&gt;=50000,5%,2%))</f>
        <v>0.1</v>
      </c>
      <c r="F22" s="4" t="n">
        <f aca="false">D22*(1-E22)</f>
        <v>99000</v>
      </c>
      <c r="G22" s="4" t="n">
        <f aca="false">F22*3%</f>
        <v>2970</v>
      </c>
    </row>
    <row r="23" customFormat="false" ht="15" hidden="false" customHeight="false" outlineLevel="0" collapsed="false">
      <c r="A23" s="3" t="s">
        <v>10</v>
      </c>
      <c r="B23" s="3" t="n">
        <v>40</v>
      </c>
      <c r="C23" s="4" t="n">
        <v>1500</v>
      </c>
      <c r="D23" s="4" t="n">
        <f aca="false">B23*C23</f>
        <v>60000</v>
      </c>
      <c r="E23" s="5" t="n">
        <f aca="false">IF(D23&gt;=100000,10%,IF(D23&gt;=50000,5%,2%))</f>
        <v>0.05</v>
      </c>
      <c r="F23" s="4" t="n">
        <f aca="false">D23*(1-E23)</f>
        <v>57000</v>
      </c>
      <c r="G23" s="4" t="n">
        <f aca="false">F23*3%</f>
        <v>1710</v>
      </c>
    </row>
    <row r="24" customFormat="false" ht="15" hidden="false" customHeight="false" outlineLevel="0" collapsed="false">
      <c r="A24" s="3" t="s">
        <v>12</v>
      </c>
      <c r="B24" s="3" t="n">
        <v>5</v>
      </c>
      <c r="C24" s="4" t="n">
        <v>12000</v>
      </c>
      <c r="D24" s="4" t="n">
        <f aca="false">B24*C24</f>
        <v>60000</v>
      </c>
      <c r="E24" s="5" t="n">
        <f aca="false">IF(D24&gt;=100000,10%,IF(D24&gt;=50000,5%,2%))</f>
        <v>0.05</v>
      </c>
      <c r="F24" s="4" t="n">
        <f aca="false">D24*(1-E24)</f>
        <v>57000</v>
      </c>
      <c r="G24" s="4" t="n">
        <f aca="false">F24*3%</f>
        <v>1710</v>
      </c>
    </row>
    <row r="25" customFormat="false" ht="15" hidden="false" customHeight="false" outlineLevel="0" collapsed="false">
      <c r="A25" s="3" t="s">
        <v>14</v>
      </c>
      <c r="B25" s="3" t="n">
        <v>2</v>
      </c>
      <c r="C25" s="4" t="n">
        <v>65000</v>
      </c>
      <c r="D25" s="4" t="n">
        <f aca="false">B25*C25</f>
        <v>130000</v>
      </c>
      <c r="E25" s="5" t="n">
        <f aca="false">IF(D25&gt;=100000,10%,IF(D25&gt;=50000,5%,2%))</f>
        <v>0.1</v>
      </c>
      <c r="F25" s="4" t="n">
        <f aca="false">D25*(1-E25)</f>
        <v>117000</v>
      </c>
      <c r="G25" s="4" t="n">
        <f aca="false">F25*3%</f>
        <v>3510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
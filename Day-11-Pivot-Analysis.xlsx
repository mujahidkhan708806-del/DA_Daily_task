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ivot Data" sheetId="1" state="visible" r:id="rId3"/>
    <sheet name="Pivot Analy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<sst xmlns="http://schemas.openxmlformats.org/spreadsheetml/2006/main" count="93" uniqueCount="28">
  <si>
    <t xml:space="preserve">Date</t>
  </si>
  <si>
    <t xml:space="preserve">Month</t>
  </si>
  <si>
    <t xml:space="preserve">Region</t>
  </si>
  <si>
    <t xml:space="preserve">Product ID</t>
  </si>
  <si>
    <t xml:space="preserve">Units</t>
  </si>
  <si>
    <t xml:space="preserve">Revenue</t>
  </si>
  <si>
    <t xml:space="preserve">Jan</t>
  </si>
  <si>
    <t xml:space="preserve">North</t>
  </si>
  <si>
    <t xml:space="preserve">P001</t>
  </si>
  <si>
    <t xml:space="preserve">West</t>
  </si>
  <si>
    <t xml:space="preserve">P003</t>
  </si>
  <si>
    <t xml:space="preserve">South</t>
  </si>
  <si>
    <t xml:space="preserve">P005</t>
  </si>
  <si>
    <t xml:space="preserve">East</t>
  </si>
  <si>
    <t xml:space="preserve">P002</t>
  </si>
  <si>
    <t xml:space="preserve">Feb</t>
  </si>
  <si>
    <t xml:space="preserve">P004</t>
  </si>
  <si>
    <t xml:space="preserve">P006</t>
  </si>
  <si>
    <t xml:space="preserve">P007</t>
  </si>
  <si>
    <t xml:space="preserve">P008</t>
  </si>
  <si>
    <t xml:space="preserve">Mar</t>
  </si>
  <si>
    <t xml:space="preserve">Apr</t>
  </si>
  <si>
    <t xml:space="preserve">May</t>
  </si>
  <si>
    <t xml:space="preserve">Jun</t>
  </si>
  <si>
    <t xml:space="preserve">Grand Total</t>
  </si>
  <si>
    <t xml:space="preserve">Region Total</t>
  </si>
  <si>
    <t xml:space="preserve">Highest Month</t>
  </si>
  <si>
    <t xml:space="preserve">Average Monthly Revenue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</si>
</sst>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\₹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ivotAnalysisSource" displayName="PivotAnalysisSource" ref="A1:F25" headerRowCount="1" totalsRowCount="0" totalsRowShown="0">
  <autoFilter ref="A1:F25"/>
  <tableColumns count="6">
    <tableColumn id="1" name="Date"/>
    <tableColumn id="2" name="Month"/>
    <tableColumn id="3" name="Region"/>
    <tableColumn id="4" name="Product ID"/>
    <tableColumn id="5" name="Units"/>
    <tableColumn id="6" name="Reven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6" min="5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46027</v>
      </c>
      <c r="B2" s="3" t="s">
        <v>6</v>
      </c>
      <c r="C2" s="3" t="s">
        <v>7</v>
      </c>
      <c r="D2" s="3" t="s">
        <v>8</v>
      </c>
      <c r="E2" s="3" t="n">
        <v>2</v>
      </c>
      <c r="F2" s="4" t="n">
        <v>130000</v>
      </c>
    </row>
    <row r="3" customFormat="false" ht="15" hidden="false" customHeight="false" outlineLevel="0" collapsed="false">
      <c r="A3" s="2" t="n">
        <v>46030</v>
      </c>
      <c r="B3" s="3" t="s">
        <v>6</v>
      </c>
      <c r="C3" s="3" t="s">
        <v>9</v>
      </c>
      <c r="D3" s="3" t="s">
        <v>10</v>
      </c>
      <c r="E3" s="3" t="n">
        <v>10</v>
      </c>
      <c r="F3" s="4" t="n">
        <v>25000</v>
      </c>
    </row>
    <row r="4" customFormat="false" ht="15" hidden="false" customHeight="false" outlineLevel="0" collapsed="false">
      <c r="A4" s="2" t="n">
        <v>46034</v>
      </c>
      <c r="B4" s="3" t="s">
        <v>6</v>
      </c>
      <c r="C4" s="3" t="s">
        <v>11</v>
      </c>
      <c r="D4" s="3" t="s">
        <v>12</v>
      </c>
      <c r="E4" s="3" t="n">
        <v>4</v>
      </c>
      <c r="F4" s="4" t="n">
        <v>48000</v>
      </c>
    </row>
    <row r="5" customFormat="false" ht="15" hidden="false" customHeight="false" outlineLevel="0" collapsed="false">
      <c r="A5" s="2" t="n">
        <v>46040</v>
      </c>
      <c r="B5" s="3" t="s">
        <v>6</v>
      </c>
      <c r="C5" s="3" t="s">
        <v>13</v>
      </c>
      <c r="D5" s="3" t="s">
        <v>14</v>
      </c>
      <c r="E5" s="3" t="n">
        <v>8</v>
      </c>
      <c r="F5" s="4" t="n">
        <v>144000</v>
      </c>
    </row>
    <row r="6" customFormat="false" ht="15" hidden="false" customHeight="false" outlineLevel="0" collapsed="false">
      <c r="A6" s="2" t="n">
        <v>46056</v>
      </c>
      <c r="B6" s="3" t="s">
        <v>15</v>
      </c>
      <c r="C6" s="3" t="s">
        <v>7</v>
      </c>
      <c r="D6" s="3" t="s">
        <v>16</v>
      </c>
      <c r="E6" s="3" t="n">
        <v>15</v>
      </c>
      <c r="F6" s="4" t="n">
        <v>22500</v>
      </c>
    </row>
    <row r="7" customFormat="false" ht="15" hidden="false" customHeight="false" outlineLevel="0" collapsed="false">
      <c r="A7" s="2" t="n">
        <v>46063</v>
      </c>
      <c r="B7" s="3" t="s">
        <v>15</v>
      </c>
      <c r="C7" s="3" t="s">
        <v>9</v>
      </c>
      <c r="D7" s="3" t="s">
        <v>17</v>
      </c>
      <c r="E7" s="3" t="n">
        <v>5</v>
      </c>
      <c r="F7" s="4" t="n">
        <v>45000</v>
      </c>
    </row>
    <row r="8" customFormat="false" ht="15" hidden="false" customHeight="false" outlineLevel="0" collapsed="false">
      <c r="A8" s="2" t="n">
        <v>46067</v>
      </c>
      <c r="B8" s="3" t="s">
        <v>15</v>
      </c>
      <c r="C8" s="3" t="s">
        <v>11</v>
      </c>
      <c r="D8" s="3" t="s">
        <v>18</v>
      </c>
      <c r="E8" s="3" t="n">
        <v>12</v>
      </c>
      <c r="F8" s="4" t="n">
        <v>42000</v>
      </c>
    </row>
    <row r="9" customFormat="false" ht="15" hidden="false" customHeight="false" outlineLevel="0" collapsed="false">
      <c r="A9" s="2" t="n">
        <v>46074</v>
      </c>
      <c r="B9" s="3" t="s">
        <v>15</v>
      </c>
      <c r="C9" s="3" t="s">
        <v>13</v>
      </c>
      <c r="D9" s="3" t="s">
        <v>19</v>
      </c>
      <c r="E9" s="3" t="n">
        <v>3</v>
      </c>
      <c r="F9" s="4" t="n">
        <v>66000</v>
      </c>
    </row>
    <row r="10" customFormat="false" ht="15" hidden="false" customHeight="false" outlineLevel="0" collapsed="false">
      <c r="A10" s="2" t="n">
        <v>46083</v>
      </c>
      <c r="B10" s="3" t="s">
        <v>20</v>
      </c>
      <c r="C10" s="3" t="s">
        <v>7</v>
      </c>
      <c r="D10" s="3" t="s">
        <v>14</v>
      </c>
      <c r="E10" s="3" t="n">
        <v>7</v>
      </c>
      <c r="F10" s="4" t="n">
        <v>126000</v>
      </c>
    </row>
    <row r="11" customFormat="false" ht="15" hidden="false" customHeight="false" outlineLevel="0" collapsed="false">
      <c r="A11" s="2" t="n">
        <v>46090</v>
      </c>
      <c r="B11" s="3" t="s">
        <v>20</v>
      </c>
      <c r="C11" s="3" t="s">
        <v>9</v>
      </c>
      <c r="D11" s="3" t="s">
        <v>8</v>
      </c>
      <c r="E11" s="3" t="n">
        <v>3</v>
      </c>
      <c r="F11" s="4" t="n">
        <v>195000</v>
      </c>
    </row>
    <row r="12" customFormat="false" ht="15" hidden="false" customHeight="false" outlineLevel="0" collapsed="false">
      <c r="A12" s="2" t="n">
        <v>46096</v>
      </c>
      <c r="B12" s="3" t="s">
        <v>20</v>
      </c>
      <c r="C12" s="3" t="s">
        <v>11</v>
      </c>
      <c r="D12" s="3" t="s">
        <v>10</v>
      </c>
      <c r="E12" s="3" t="n">
        <v>20</v>
      </c>
      <c r="F12" s="4" t="n">
        <v>50000</v>
      </c>
    </row>
    <row r="13" customFormat="false" ht="15" hidden="false" customHeight="false" outlineLevel="0" collapsed="false">
      <c r="A13" s="2" t="n">
        <v>46103</v>
      </c>
      <c r="B13" s="3" t="s">
        <v>20</v>
      </c>
      <c r="C13" s="3" t="s">
        <v>13</v>
      </c>
      <c r="D13" s="3" t="s">
        <v>12</v>
      </c>
      <c r="E13" s="3" t="n">
        <v>6</v>
      </c>
      <c r="F13" s="4" t="n">
        <v>72000</v>
      </c>
    </row>
    <row r="14" customFormat="false" ht="15" hidden="false" customHeight="false" outlineLevel="0" collapsed="false">
      <c r="A14" s="2" t="n">
        <v>46116</v>
      </c>
      <c r="B14" s="3" t="s">
        <v>21</v>
      </c>
      <c r="C14" s="3" t="s">
        <v>7</v>
      </c>
      <c r="D14" s="3" t="s">
        <v>17</v>
      </c>
      <c r="E14" s="3" t="n">
        <v>7</v>
      </c>
      <c r="F14" s="4" t="n">
        <v>63000</v>
      </c>
    </row>
    <row r="15" customFormat="false" ht="15" hidden="false" customHeight="false" outlineLevel="0" collapsed="false">
      <c r="A15" s="2" t="n">
        <v>46123</v>
      </c>
      <c r="B15" s="3" t="s">
        <v>21</v>
      </c>
      <c r="C15" s="3" t="s">
        <v>9</v>
      </c>
      <c r="D15" s="3" t="s">
        <v>19</v>
      </c>
      <c r="E15" s="3" t="n">
        <v>4</v>
      </c>
      <c r="F15" s="4" t="n">
        <v>88000</v>
      </c>
    </row>
    <row r="16" customFormat="false" ht="15" hidden="false" customHeight="false" outlineLevel="0" collapsed="false">
      <c r="A16" s="2" t="n">
        <v>46129</v>
      </c>
      <c r="B16" s="3" t="s">
        <v>21</v>
      </c>
      <c r="C16" s="3" t="s">
        <v>11</v>
      </c>
      <c r="D16" s="3" t="s">
        <v>16</v>
      </c>
      <c r="E16" s="3" t="n">
        <v>25</v>
      </c>
      <c r="F16" s="4" t="n">
        <v>37500</v>
      </c>
    </row>
    <row r="17" customFormat="false" ht="15" hidden="false" customHeight="false" outlineLevel="0" collapsed="false">
      <c r="A17" s="2" t="n">
        <v>46137</v>
      </c>
      <c r="B17" s="3" t="s">
        <v>21</v>
      </c>
      <c r="C17" s="3" t="s">
        <v>13</v>
      </c>
      <c r="D17" s="3" t="s">
        <v>18</v>
      </c>
      <c r="E17" s="3" t="n">
        <v>15</v>
      </c>
      <c r="F17" s="4" t="n">
        <v>52500</v>
      </c>
    </row>
    <row r="18" customFormat="false" ht="15" hidden="false" customHeight="false" outlineLevel="0" collapsed="false">
      <c r="A18" s="2" t="n">
        <v>46148</v>
      </c>
      <c r="B18" s="3" t="s">
        <v>22</v>
      </c>
      <c r="C18" s="3" t="s">
        <v>7</v>
      </c>
      <c r="D18" s="3" t="s">
        <v>8</v>
      </c>
      <c r="E18" s="3" t="n">
        <v>1</v>
      </c>
      <c r="F18" s="4" t="n">
        <v>65000</v>
      </c>
    </row>
    <row r="19" customFormat="false" ht="15" hidden="false" customHeight="false" outlineLevel="0" collapsed="false">
      <c r="A19" s="2" t="n">
        <v>46155</v>
      </c>
      <c r="B19" s="3" t="s">
        <v>22</v>
      </c>
      <c r="C19" s="3" t="s">
        <v>9</v>
      </c>
      <c r="D19" s="3" t="s">
        <v>14</v>
      </c>
      <c r="E19" s="3" t="n">
        <v>10</v>
      </c>
      <c r="F19" s="4" t="n">
        <v>180000</v>
      </c>
    </row>
    <row r="20" customFormat="false" ht="15" hidden="false" customHeight="false" outlineLevel="0" collapsed="false">
      <c r="A20" s="2" t="n">
        <v>46162</v>
      </c>
      <c r="B20" s="3" t="s">
        <v>22</v>
      </c>
      <c r="C20" s="3" t="s">
        <v>11</v>
      </c>
      <c r="D20" s="3" t="s">
        <v>17</v>
      </c>
      <c r="E20" s="3" t="n">
        <v>8</v>
      </c>
      <c r="F20" s="4" t="n">
        <v>72000</v>
      </c>
    </row>
    <row r="21" customFormat="false" ht="15" hidden="false" customHeight="false" outlineLevel="0" collapsed="false">
      <c r="A21" s="2" t="n">
        <v>46169</v>
      </c>
      <c r="B21" s="3" t="s">
        <v>22</v>
      </c>
      <c r="C21" s="3" t="s">
        <v>13</v>
      </c>
      <c r="D21" s="3" t="s">
        <v>10</v>
      </c>
      <c r="E21" s="3" t="n">
        <v>30</v>
      </c>
      <c r="F21" s="4" t="n">
        <v>75000</v>
      </c>
    </row>
    <row r="22" customFormat="false" ht="15" hidden="false" customHeight="false" outlineLevel="0" collapsed="false">
      <c r="A22" s="2" t="n">
        <v>46176</v>
      </c>
      <c r="B22" s="3" t="s">
        <v>23</v>
      </c>
      <c r="C22" s="3" t="s">
        <v>7</v>
      </c>
      <c r="D22" s="3" t="s">
        <v>19</v>
      </c>
      <c r="E22" s="3" t="n">
        <v>5</v>
      </c>
      <c r="F22" s="4" t="n">
        <v>110000</v>
      </c>
    </row>
    <row r="23" customFormat="false" ht="15" hidden="false" customHeight="false" outlineLevel="0" collapsed="false">
      <c r="A23" s="2" t="n">
        <v>46183</v>
      </c>
      <c r="B23" s="3" t="s">
        <v>23</v>
      </c>
      <c r="C23" s="3" t="s">
        <v>9</v>
      </c>
      <c r="D23" s="3" t="s">
        <v>16</v>
      </c>
      <c r="E23" s="3" t="n">
        <v>40</v>
      </c>
      <c r="F23" s="4" t="n">
        <v>60000</v>
      </c>
    </row>
    <row r="24" customFormat="false" ht="15" hidden="false" customHeight="false" outlineLevel="0" collapsed="false">
      <c r="A24" s="2" t="n">
        <v>46190</v>
      </c>
      <c r="B24" s="3" t="s">
        <v>23</v>
      </c>
      <c r="C24" s="3" t="s">
        <v>11</v>
      </c>
      <c r="D24" s="3" t="s">
        <v>12</v>
      </c>
      <c r="E24" s="3" t="n">
        <v>5</v>
      </c>
      <c r="F24" s="4" t="n">
        <v>60000</v>
      </c>
    </row>
    <row r="25" customFormat="false" ht="15" hidden="false" customHeight="false" outlineLevel="0" collapsed="false">
      <c r="A25" s="2" t="n">
        <v>46197</v>
      </c>
      <c r="B25" s="3" t="s">
        <v>23</v>
      </c>
      <c r="C25" s="3" t="s">
        <v>13</v>
      </c>
      <c r="D25" s="3" t="s">
        <v>8</v>
      </c>
      <c r="E25" s="3" t="n">
        <v>2</v>
      </c>
      <c r="F25" s="4" t="n">
        <v>130000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5" min="2" style="0" width="28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" t="s">
        <v>1</v>
      </c>
      <c r="B1" s="1" t="s">
        <v>7</v>
      </c>
      <c r="C1" s="1" t="s">
        <v>9</v>
      </c>
      <c r="D1" s="1" t="s">
        <v>11</v>
      </c>
      <c r="E1" s="1" t="s">
        <v>13</v>
      </c>
      <c r="F1" s="1" t="s">
        <v>24</v>
      </c>
    </row>
    <row r="2" customFormat="false" ht="15" hidden="false" customHeight="false" outlineLevel="0" collapsed="false">
      <c r="A2" s="3" t="s">
        <v>6</v>
      </c>
      <c r="B2" s="4" t="n">
        <f aca="false">SUMPRODUCT(('Pivot Data'!$B$2:$B$25=$A2)*('Pivot Data'!$C$2:$C$25=B$1)*('Pivot Data'!$F$2:$F$25))</f>
        <v>130000</v>
      </c>
      <c r="C2" s="4" t="n">
        <f aca="false">SUMPRODUCT(('Pivot Data'!$B$2:$B$25=$A2)*('Pivot Data'!$C$2:$C$25=C$1)*('Pivot Data'!$F$2:$F$25))</f>
        <v>25000</v>
      </c>
      <c r="D2" s="4" t="n">
        <f aca="false">SUMPRODUCT(('Pivot Data'!$B$2:$B$25=$A2)*('Pivot Data'!$C$2:$C$25=D$1)*('Pivot Data'!$F$2:$F$25))</f>
        <v>48000</v>
      </c>
      <c r="E2" s="4" t="n">
        <f aca="false">SUMPRODUCT(('Pivot Data'!$B$2:$B$25=$A2)*('Pivot Data'!$C$2:$C$25=E$1)*('Pivot Data'!$F$2:$F$25))</f>
        <v>144000</v>
      </c>
      <c r="F2" s="4" t="n">
        <f aca="false">SUM(B2:E2)</f>
        <v>347000</v>
      </c>
    </row>
    <row r="3" customFormat="false" ht="15" hidden="false" customHeight="false" outlineLevel="0" collapsed="false">
      <c r="A3" s="3" t="s">
        <v>15</v>
      </c>
      <c r="B3" s="4" t="n">
        <f aca="false">SUMPRODUCT(('Pivot Data'!$B$2:$B$25=$A3)*('Pivot Data'!$C$2:$C$25=B$1)*('Pivot Data'!$F$2:$F$25))</f>
        <v>22500</v>
      </c>
      <c r="C3" s="4" t="n">
        <f aca="false">SUMPRODUCT(('Pivot Data'!$B$2:$B$25=$A3)*('Pivot Data'!$C$2:$C$25=C$1)*('Pivot Data'!$F$2:$F$25))</f>
        <v>45000</v>
      </c>
      <c r="D3" s="4" t="n">
        <f aca="false">SUMPRODUCT(('Pivot Data'!$B$2:$B$25=$A3)*('Pivot Data'!$C$2:$C$25=D$1)*('Pivot Data'!$F$2:$F$25))</f>
        <v>42000</v>
      </c>
      <c r="E3" s="4" t="n">
        <f aca="false">SUMPRODUCT(('Pivot Data'!$B$2:$B$25=$A3)*('Pivot Data'!$C$2:$C$25=E$1)*('Pivot Data'!$F$2:$F$25))</f>
        <v>66000</v>
      </c>
      <c r="F3" s="4" t="n">
        <f aca="false">SUM(B3:E3)</f>
        <v>175500</v>
      </c>
    </row>
    <row r="4" customFormat="false" ht="15" hidden="false" customHeight="false" outlineLevel="0" collapsed="false">
      <c r="A4" s="3" t="s">
        <v>20</v>
      </c>
      <c r="B4" s="4" t="n">
        <f aca="false">SUMPRODUCT(('Pivot Data'!$B$2:$B$25=$A4)*('Pivot Data'!$C$2:$C$25=B$1)*('Pivot Data'!$F$2:$F$25))</f>
        <v>126000</v>
      </c>
      <c r="C4" s="4" t="n">
        <f aca="false">SUMPRODUCT(('Pivot Data'!$B$2:$B$25=$A4)*('Pivot Data'!$C$2:$C$25=C$1)*('Pivot Data'!$F$2:$F$25))</f>
        <v>195000</v>
      </c>
      <c r="D4" s="4" t="n">
        <f aca="false">SUMPRODUCT(('Pivot Data'!$B$2:$B$25=$A4)*('Pivot Data'!$C$2:$C$25=D$1)*('Pivot Data'!$F$2:$F$25))</f>
        <v>50000</v>
      </c>
      <c r="E4" s="4" t="n">
        <f aca="false">SUMPRODUCT(('Pivot Data'!$B$2:$B$25=$A4)*('Pivot Data'!$C$2:$C$25=E$1)*('Pivot Data'!$F$2:$F$25))</f>
        <v>72000</v>
      </c>
      <c r="F4" s="4" t="n">
        <f aca="false">SUM(B4:E4)</f>
        <v>443000</v>
      </c>
    </row>
    <row r="5" customFormat="false" ht="15" hidden="false" customHeight="false" outlineLevel="0" collapsed="false">
      <c r="A5" s="3" t="s">
        <v>21</v>
      </c>
      <c r="B5" s="4" t="n">
        <f aca="false">SUMPRODUCT(('Pivot Data'!$B$2:$B$25=$A5)*('Pivot Data'!$C$2:$C$25=B$1)*('Pivot Data'!$F$2:$F$25))</f>
        <v>63000</v>
      </c>
      <c r="C5" s="4" t="n">
        <f aca="false">SUMPRODUCT(('Pivot Data'!$B$2:$B$25=$A5)*('Pivot Data'!$C$2:$C$25=C$1)*('Pivot Data'!$F$2:$F$25))</f>
        <v>88000</v>
      </c>
      <c r="D5" s="4" t="n">
        <f aca="false">SUMPRODUCT(('Pivot Data'!$B$2:$B$25=$A5)*('Pivot Data'!$C$2:$C$25=D$1)*('Pivot Data'!$F$2:$F$25))</f>
        <v>37500</v>
      </c>
      <c r="E5" s="4" t="n">
        <f aca="false">SUMPRODUCT(('Pivot Data'!$B$2:$B$25=$A5)*('Pivot Data'!$C$2:$C$25=E$1)*('Pivot Data'!$F$2:$F$25))</f>
        <v>52500</v>
      </c>
      <c r="F5" s="4" t="n">
        <f aca="false">SUM(B5:E5)</f>
        <v>241000</v>
      </c>
    </row>
    <row r="6" customFormat="false" ht="15" hidden="false" customHeight="false" outlineLevel="0" collapsed="false">
      <c r="A6" s="3" t="s">
        <v>22</v>
      </c>
      <c r="B6" s="4" t="n">
        <f aca="false">SUMPRODUCT(('Pivot Data'!$B$2:$B$25=$A6)*('Pivot Data'!$C$2:$C$25=B$1)*('Pivot Data'!$F$2:$F$25))</f>
        <v>65000</v>
      </c>
      <c r="C6" s="4" t="n">
        <f aca="false">SUMPRODUCT(('Pivot Data'!$B$2:$B$25=$A6)*('Pivot Data'!$C$2:$C$25=C$1)*('Pivot Data'!$F$2:$F$25))</f>
        <v>180000</v>
      </c>
      <c r="D6" s="4" t="n">
        <f aca="false">SUMPRODUCT(('Pivot Data'!$B$2:$B$25=$A6)*('Pivot Data'!$C$2:$C$25=D$1)*('Pivot Data'!$F$2:$F$25))</f>
        <v>72000</v>
      </c>
      <c r="E6" s="4" t="n">
        <f aca="false">SUMPRODUCT(('Pivot Data'!$B$2:$B$25=$A6)*('Pivot Data'!$C$2:$C$25=E$1)*('Pivot Data'!$F$2:$F$25))</f>
        <v>75000</v>
      </c>
      <c r="F6" s="4" t="n">
        <f aca="false">SUM(B6:E6)</f>
        <v>392000</v>
      </c>
    </row>
    <row r="7" customFormat="false" ht="15" hidden="false" customHeight="false" outlineLevel="0" collapsed="false">
      <c r="A7" s="3" t="s">
        <v>23</v>
      </c>
      <c r="B7" s="4" t="n">
        <f aca="false">SUMPRODUCT(('Pivot Data'!$B$2:$B$25=$A7)*('Pivot Data'!$C$2:$C$25=B$1)*('Pivot Data'!$F$2:$F$25))</f>
        <v>110000</v>
      </c>
      <c r="C7" s="4" t="n">
        <f aca="false">SUMPRODUCT(('Pivot Data'!$B$2:$B$25=$A7)*('Pivot Data'!$C$2:$C$25=C$1)*('Pivot Data'!$F$2:$F$25))</f>
        <v>60000</v>
      </c>
      <c r="D7" s="4" t="n">
        <f aca="false">SUMPRODUCT(('Pivot Data'!$B$2:$B$25=$A7)*('Pivot Data'!$C$2:$C$25=D$1)*('Pivot Data'!$F$2:$F$25))</f>
        <v>60000</v>
      </c>
      <c r="E7" s="4" t="n">
        <f aca="false">SUMPRODUCT(('Pivot Data'!$B$2:$B$25=$A7)*('Pivot Data'!$C$2:$C$25=E$1)*('Pivot Data'!$F$2:$F$25))</f>
        <v>130000</v>
      </c>
      <c r="F7" s="4" t="n">
        <f aca="false">SUM(B7:E7)</f>
        <v>360000</v>
      </c>
    </row>
    <row r="9" customFormat="false" ht="15" hidden="false" customHeight="false" outlineLevel="0" collapsed="false">
      <c r="A9" s="5" t="s">
        <v>25</v>
      </c>
      <c r="B9" s="6" t="n">
        <f aca="false">SUM(B2:B7)</f>
        <v>516500</v>
      </c>
      <c r="C9" s="6" t="n">
        <f aca="false">SUM(C2:C7)</f>
        <v>593000</v>
      </c>
      <c r="D9" s="6" t="n">
        <f aca="false">SUM(D2:D7)</f>
        <v>309500</v>
      </c>
      <c r="E9" s="6" t="n">
        <f aca="false">SUM(E2:E7)</f>
        <v>539500</v>
      </c>
      <c r="F9" s="6" t="n">
        <f aca="false">SUM(F2:F7)</f>
        <v>1958500</v>
      </c>
    </row>
    <row r="11" customFormat="false" ht="15" hidden="false" customHeight="false" outlineLevel="0" collapsed="false">
      <c r="A11" s="0" t="s">
        <v>26</v>
      </c>
      <c r="B11" s="0" t="str">
        <f aca="false">INDEX(A2:A7,MATCH(MAX(F2:F7),F2:F7,0))</f>
        <v>Mar</v>
      </c>
    </row>
    <row r="12" customFormat="false" ht="15" hidden="false" customHeight="false" outlineLevel="0" collapsed="false">
      <c r="A12" s="0" t="s">
        <v>27</v>
      </c>
      <c r="B12" s="7" t="n">
        <f aca="false">AVERAGE(F2:F7)</f>
        <v>326416.666666667</v>
      </c>
    </row>
  </sheetData>
  <conditionalFormatting sqref="F2:F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2026-09-21T17:45:06Z</dcterms:created>
  <dc:creator>openpyxl</dc:creator>
  <dc:description/>
  <dc:language>en-US</dc:language>
  <cp:lastModifiedBy/>
  <dcterms:modified xsi:type="dcterms:W3CDTF">2026-09-21T17:45:06Z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
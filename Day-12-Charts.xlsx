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 Data" sheetId="1" state="visible" r:id="rId3"/>
    <sheet name="Pivot Table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<sst xmlns="http://schemas.openxmlformats.org/spreadsheetml/2006/main" count="96" uniqueCount="29">
  <si>
    <t xml:space="preserve">Date</t>
  </si>
  <si>
    <t xml:space="preserve">Month</t>
  </si>
  <si>
    <t xml:space="preserve">Region</t>
  </si>
  <si>
    <t xml:space="preserve">Product ID</t>
  </si>
  <si>
    <t xml:space="preserve">Units</t>
  </si>
  <si>
    <t xml:space="preserve">Revenue</t>
  </si>
  <si>
    <t xml:space="preserve">Jan</t>
  </si>
  <si>
    <t xml:space="preserve">North</t>
  </si>
  <si>
    <t xml:space="preserve">P001</t>
  </si>
  <si>
    <t xml:space="preserve">West</t>
  </si>
  <si>
    <t xml:space="preserve">P003</t>
  </si>
  <si>
    <t xml:space="preserve">South</t>
  </si>
  <si>
    <t xml:space="preserve">P005</t>
  </si>
  <si>
    <t xml:space="preserve">East</t>
  </si>
  <si>
    <t xml:space="preserve">P002</t>
  </si>
  <si>
    <t xml:space="preserve">Feb</t>
  </si>
  <si>
    <t xml:space="preserve">P004</t>
  </si>
  <si>
    <t xml:space="preserve">P006</t>
  </si>
  <si>
    <t xml:space="preserve">P007</t>
  </si>
  <si>
    <t xml:space="preserve">P008</t>
  </si>
  <si>
    <t xml:space="preserve">Mar</t>
  </si>
  <si>
    <t xml:space="preserve">Apr</t>
  </si>
  <si>
    <t xml:space="preserve">May</t>
  </si>
  <si>
    <t xml:space="preserve">Jun</t>
  </si>
  <si>
    <t xml:space="preserve">Total Revenue</t>
  </si>
  <si>
    <t xml:space="preserve">Total Units</t>
  </si>
  <si>
    <t xml:space="preserve">Total Profit</t>
  </si>
  <si>
    <t xml:space="preserve">Grand Total</t>
  </si>
  <si>
    <t xml:space="preserve">Charts — Created from Pivot Table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</si>
</sst>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\₹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Table'!$B$2:$B$7</c:f>
              <c:numCache>
                <c:formatCode>\₹#,##0</c:formatCode>
                <c:ptCount val="6"/>
                <c:pt idx="0">
                  <c:v>347000</c:v>
                </c:pt>
                <c:pt idx="1">
                  <c:v>175500</c:v>
                </c:pt>
                <c:pt idx="2">
                  <c:v>443000</c:v>
                </c:pt>
                <c:pt idx="3">
                  <c:v>241000</c:v>
                </c:pt>
                <c:pt idx="4">
                  <c:v>392000</c:v>
                </c:pt>
                <c:pt idx="5">
                  <c:v>360000</c:v>
                </c:pt>
              </c:numCache>
            </c:numRef>
          </c:val>
        </c:ser>
        <c:gapWidth val="150"/>
        <c:overlap val="0"/>
        <c:axId val="60712920"/>
        <c:axId val="23961557"/>
      </c:barChart>
      <c:catAx>
        <c:axId val="607129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961557"/>
        <c:crosses val="autoZero"/>
        <c:auto val="1"/>
        <c:lblAlgn val="ctr"/>
        <c:lblOffset val="100"/>
        <c:noMultiLvlLbl val="0"/>
      </c:catAx>
      <c:valAx>
        <c:axId val="23961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712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Units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Table'!C1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Table'!$C$2:$C$7</c:f>
              <c:numCache>
                <c:formatCode>General</c:formatCode>
                <c:ptCount val="6"/>
                <c:pt idx="0">
                  <c:v>24</c:v>
                </c:pt>
                <c:pt idx="1">
                  <c:v>35</c:v>
                </c:pt>
                <c:pt idx="2">
                  <c:v>36</c:v>
                </c:pt>
                <c:pt idx="3">
                  <c:v>51</c:v>
                </c:pt>
                <c:pt idx="4">
                  <c:v>49</c:v>
                </c:pt>
                <c:pt idx="5">
                  <c:v>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06078"/>
        <c:axId val="81318210"/>
      </c:lineChart>
      <c:catAx>
        <c:axId val="31060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318210"/>
        <c:crosses val="autoZero"/>
        <c:auto val="1"/>
        <c:lblAlgn val="ctr"/>
        <c:lblOffset val="100"/>
        <c:noMultiLvlLbl val="0"/>
      </c:catAx>
      <c:valAx>
        <c:axId val="81318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06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Table'!G1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Table'!$F$2:$F$5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'Pivot Table'!$G$2:$G$5</c:f>
              <c:numCache>
                <c:formatCode>\₹#,##0</c:formatCode>
                <c:ptCount val="4"/>
                <c:pt idx="0">
                  <c:v>516500</c:v>
                </c:pt>
                <c:pt idx="1">
                  <c:v>593000</c:v>
                </c:pt>
                <c:pt idx="2">
                  <c:v>309500</c:v>
                </c:pt>
                <c:pt idx="3">
                  <c:v>539500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5</xdr:col>
      <xdr:colOff>479160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130680</xdr:rowOff>
    </xdr:from>
    <xdr:to>
      <xdr:col>17</xdr:col>
      <xdr:colOff>147600</xdr:colOff>
      <xdr:row>16</xdr:row>
      <xdr:rowOff>153000</xdr:rowOff>
    </xdr:to>
    <xdr:graphicFrame>
      <xdr:nvGraphicFramePr>
        <xdr:cNvPr id="1" name="Chart 2"/>
        <xdr:cNvGraphicFramePr/>
      </xdr:nvGraphicFramePr>
      <xdr:xfrm>
        <a:off x="700668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5</xdr:col>
      <xdr:colOff>479160</xdr:colOff>
      <xdr:row>33</xdr:row>
      <xdr:rowOff>153000</xdr:rowOff>
    </xdr:to>
    <xdr:graphicFrame>
      <xdr:nvGraphicFramePr>
        <xdr:cNvPr id="2" name="Chart 3"/>
        <xdr:cNvGraphicFramePr/>
      </xdr:nvGraphicFramePr>
      <xdr:xfrm>
        <a:off x="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hartSalesData" displayName="ChartSalesData" ref="A1:F25" headerRowCount="1" totalsRowCount="0" totalsRowShown="0">
  <autoFilter ref="A1:F25"/>
  <tableColumns count="6">
    <tableColumn id="1" name="Date"/>
    <tableColumn id="2" name="Month"/>
    <tableColumn id="3" name="Region"/>
    <tableColumn id="4" name="Product ID"/>
    <tableColumn id="5" name="Units"/>
    <tableColumn id="6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46027</v>
      </c>
      <c r="B2" s="3" t="s">
        <v>6</v>
      </c>
      <c r="C2" s="3" t="s">
        <v>7</v>
      </c>
      <c r="D2" s="3" t="s">
        <v>8</v>
      </c>
      <c r="E2" s="3" t="n">
        <v>2</v>
      </c>
      <c r="F2" s="4" t="n">
        <f aca="false">E2*65000</f>
        <v>130000</v>
      </c>
    </row>
    <row r="3" customFormat="false" ht="15" hidden="false" customHeight="false" outlineLevel="0" collapsed="false">
      <c r="A3" s="2" t="n">
        <v>46030</v>
      </c>
      <c r="B3" s="3" t="s">
        <v>6</v>
      </c>
      <c r="C3" s="3" t="s">
        <v>9</v>
      </c>
      <c r="D3" s="3" t="s">
        <v>10</v>
      </c>
      <c r="E3" s="3" t="n">
        <v>10</v>
      </c>
      <c r="F3" s="4" t="n">
        <f aca="false">E3*2500</f>
        <v>25000</v>
      </c>
    </row>
    <row r="4" customFormat="false" ht="15" hidden="false" customHeight="false" outlineLevel="0" collapsed="false">
      <c r="A4" s="2" t="n">
        <v>46034</v>
      </c>
      <c r="B4" s="3" t="s">
        <v>6</v>
      </c>
      <c r="C4" s="3" t="s">
        <v>11</v>
      </c>
      <c r="D4" s="3" t="s">
        <v>12</v>
      </c>
      <c r="E4" s="3" t="n">
        <v>4</v>
      </c>
      <c r="F4" s="4" t="n">
        <f aca="false">E4*12000</f>
        <v>48000</v>
      </c>
    </row>
    <row r="5" customFormat="false" ht="15" hidden="false" customHeight="false" outlineLevel="0" collapsed="false">
      <c r="A5" s="2" t="n">
        <v>46040</v>
      </c>
      <c r="B5" s="3" t="s">
        <v>6</v>
      </c>
      <c r="C5" s="3" t="s">
        <v>13</v>
      </c>
      <c r="D5" s="3" t="s">
        <v>14</v>
      </c>
      <c r="E5" s="3" t="n">
        <v>8</v>
      </c>
      <c r="F5" s="4" t="n">
        <f aca="false">E5*18000</f>
        <v>144000</v>
      </c>
    </row>
    <row r="6" customFormat="false" ht="15" hidden="false" customHeight="false" outlineLevel="0" collapsed="false">
      <c r="A6" s="2" t="n">
        <v>46056</v>
      </c>
      <c r="B6" s="3" t="s">
        <v>15</v>
      </c>
      <c r="C6" s="3" t="s">
        <v>7</v>
      </c>
      <c r="D6" s="3" t="s">
        <v>16</v>
      </c>
      <c r="E6" s="3" t="n">
        <v>15</v>
      </c>
      <c r="F6" s="4" t="n">
        <f aca="false">E6*1500</f>
        <v>22500</v>
      </c>
    </row>
    <row r="7" customFormat="false" ht="15" hidden="false" customHeight="false" outlineLevel="0" collapsed="false">
      <c r="A7" s="2" t="n">
        <v>46063</v>
      </c>
      <c r="B7" s="3" t="s">
        <v>15</v>
      </c>
      <c r="C7" s="3" t="s">
        <v>9</v>
      </c>
      <c r="D7" s="3" t="s">
        <v>17</v>
      </c>
      <c r="E7" s="3" t="n">
        <v>5</v>
      </c>
      <c r="F7" s="4" t="n">
        <f aca="false">E7*9000</f>
        <v>45000</v>
      </c>
    </row>
    <row r="8" customFormat="false" ht="15" hidden="false" customHeight="false" outlineLevel="0" collapsed="false">
      <c r="A8" s="2" t="n">
        <v>46067</v>
      </c>
      <c r="B8" s="3" t="s">
        <v>15</v>
      </c>
      <c r="C8" s="3" t="s">
        <v>11</v>
      </c>
      <c r="D8" s="3" t="s">
        <v>18</v>
      </c>
      <c r="E8" s="3" t="n">
        <v>12</v>
      </c>
      <c r="F8" s="4" t="n">
        <f aca="false">E8*3500</f>
        <v>42000</v>
      </c>
    </row>
    <row r="9" customFormat="false" ht="15" hidden="false" customHeight="false" outlineLevel="0" collapsed="false">
      <c r="A9" s="2" t="n">
        <v>46074</v>
      </c>
      <c r="B9" s="3" t="s">
        <v>15</v>
      </c>
      <c r="C9" s="3" t="s">
        <v>13</v>
      </c>
      <c r="D9" s="3" t="s">
        <v>19</v>
      </c>
      <c r="E9" s="3" t="n">
        <v>3</v>
      </c>
      <c r="F9" s="4" t="n">
        <f aca="false">E9*22000</f>
        <v>66000</v>
      </c>
    </row>
    <row r="10" customFormat="false" ht="15" hidden="false" customHeight="false" outlineLevel="0" collapsed="false">
      <c r="A10" s="2" t="n">
        <v>46083</v>
      </c>
      <c r="B10" s="3" t="s">
        <v>20</v>
      </c>
      <c r="C10" s="3" t="s">
        <v>7</v>
      </c>
      <c r="D10" s="3" t="s">
        <v>14</v>
      </c>
      <c r="E10" s="3" t="n">
        <v>7</v>
      </c>
      <c r="F10" s="4" t="n">
        <f aca="false">E10*18000</f>
        <v>126000</v>
      </c>
    </row>
    <row r="11" customFormat="false" ht="15" hidden="false" customHeight="false" outlineLevel="0" collapsed="false">
      <c r="A11" s="2" t="n">
        <v>46090</v>
      </c>
      <c r="B11" s="3" t="s">
        <v>20</v>
      </c>
      <c r="C11" s="3" t="s">
        <v>9</v>
      </c>
      <c r="D11" s="3" t="s">
        <v>8</v>
      </c>
      <c r="E11" s="3" t="n">
        <v>3</v>
      </c>
      <c r="F11" s="4" t="n">
        <f aca="false">E11*65000</f>
        <v>195000</v>
      </c>
    </row>
    <row r="12" customFormat="false" ht="15" hidden="false" customHeight="false" outlineLevel="0" collapsed="false">
      <c r="A12" s="2" t="n">
        <v>46096</v>
      </c>
      <c r="B12" s="3" t="s">
        <v>20</v>
      </c>
      <c r="C12" s="3" t="s">
        <v>11</v>
      </c>
      <c r="D12" s="3" t="s">
        <v>10</v>
      </c>
      <c r="E12" s="3" t="n">
        <v>20</v>
      </c>
      <c r="F12" s="4" t="n">
        <f aca="false">E12*2500</f>
        <v>50000</v>
      </c>
    </row>
    <row r="13" customFormat="false" ht="15" hidden="false" customHeight="false" outlineLevel="0" collapsed="false">
      <c r="A13" s="2" t="n">
        <v>46103</v>
      </c>
      <c r="B13" s="3" t="s">
        <v>20</v>
      </c>
      <c r="C13" s="3" t="s">
        <v>13</v>
      </c>
      <c r="D13" s="3" t="s">
        <v>12</v>
      </c>
      <c r="E13" s="3" t="n">
        <v>6</v>
      </c>
      <c r="F13" s="4" t="n">
        <f aca="false">E13*12000</f>
        <v>72000</v>
      </c>
    </row>
    <row r="14" customFormat="false" ht="15" hidden="false" customHeight="false" outlineLevel="0" collapsed="false">
      <c r="A14" s="2" t="n">
        <v>46116</v>
      </c>
      <c r="B14" s="3" t="s">
        <v>21</v>
      </c>
      <c r="C14" s="3" t="s">
        <v>7</v>
      </c>
      <c r="D14" s="3" t="s">
        <v>17</v>
      </c>
      <c r="E14" s="3" t="n">
        <v>7</v>
      </c>
      <c r="F14" s="4" t="n">
        <f aca="false">E14*9000</f>
        <v>63000</v>
      </c>
    </row>
    <row r="15" customFormat="false" ht="15" hidden="false" customHeight="false" outlineLevel="0" collapsed="false">
      <c r="A15" s="2" t="n">
        <v>46123</v>
      </c>
      <c r="B15" s="3" t="s">
        <v>21</v>
      </c>
      <c r="C15" s="3" t="s">
        <v>9</v>
      </c>
      <c r="D15" s="3" t="s">
        <v>19</v>
      </c>
      <c r="E15" s="3" t="n">
        <v>4</v>
      </c>
      <c r="F15" s="4" t="n">
        <f aca="false">E15*22000</f>
        <v>88000</v>
      </c>
    </row>
    <row r="16" customFormat="false" ht="15" hidden="false" customHeight="false" outlineLevel="0" collapsed="false">
      <c r="A16" s="2" t="n">
        <v>46129</v>
      </c>
      <c r="B16" s="3" t="s">
        <v>21</v>
      </c>
      <c r="C16" s="3" t="s">
        <v>11</v>
      </c>
      <c r="D16" s="3" t="s">
        <v>16</v>
      </c>
      <c r="E16" s="3" t="n">
        <v>25</v>
      </c>
      <c r="F16" s="4" t="n">
        <f aca="false">E16*1500</f>
        <v>37500</v>
      </c>
    </row>
    <row r="17" customFormat="false" ht="15" hidden="false" customHeight="false" outlineLevel="0" collapsed="false">
      <c r="A17" s="2" t="n">
        <v>46137</v>
      </c>
      <c r="B17" s="3" t="s">
        <v>21</v>
      </c>
      <c r="C17" s="3" t="s">
        <v>13</v>
      </c>
      <c r="D17" s="3" t="s">
        <v>18</v>
      </c>
      <c r="E17" s="3" t="n">
        <v>15</v>
      </c>
      <c r="F17" s="4" t="n">
        <f aca="false">E17*3500</f>
        <v>52500</v>
      </c>
    </row>
    <row r="18" customFormat="false" ht="15" hidden="false" customHeight="false" outlineLevel="0" collapsed="false">
      <c r="A18" s="2" t="n">
        <v>46148</v>
      </c>
      <c r="B18" s="3" t="s">
        <v>22</v>
      </c>
      <c r="C18" s="3" t="s">
        <v>7</v>
      </c>
      <c r="D18" s="3" t="s">
        <v>8</v>
      </c>
      <c r="E18" s="3" t="n">
        <v>1</v>
      </c>
      <c r="F18" s="4" t="n">
        <f aca="false">E18*65000</f>
        <v>65000</v>
      </c>
    </row>
    <row r="19" customFormat="false" ht="15" hidden="false" customHeight="false" outlineLevel="0" collapsed="false">
      <c r="A19" s="2" t="n">
        <v>46155</v>
      </c>
      <c r="B19" s="3" t="s">
        <v>22</v>
      </c>
      <c r="C19" s="3" t="s">
        <v>9</v>
      </c>
      <c r="D19" s="3" t="s">
        <v>14</v>
      </c>
      <c r="E19" s="3" t="n">
        <v>10</v>
      </c>
      <c r="F19" s="4" t="n">
        <f aca="false">E19*18000</f>
        <v>180000</v>
      </c>
    </row>
    <row r="20" customFormat="false" ht="15" hidden="false" customHeight="false" outlineLevel="0" collapsed="false">
      <c r="A20" s="2" t="n">
        <v>46162</v>
      </c>
      <c r="B20" s="3" t="s">
        <v>22</v>
      </c>
      <c r="C20" s="3" t="s">
        <v>11</v>
      </c>
      <c r="D20" s="3" t="s">
        <v>17</v>
      </c>
      <c r="E20" s="3" t="n">
        <v>8</v>
      </c>
      <c r="F20" s="4" t="n">
        <f aca="false">E20*9000</f>
        <v>72000</v>
      </c>
    </row>
    <row r="21" customFormat="false" ht="15" hidden="false" customHeight="false" outlineLevel="0" collapsed="false">
      <c r="A21" s="2" t="n">
        <v>46169</v>
      </c>
      <c r="B21" s="3" t="s">
        <v>22</v>
      </c>
      <c r="C21" s="3" t="s">
        <v>13</v>
      </c>
      <c r="D21" s="3" t="s">
        <v>10</v>
      </c>
      <c r="E21" s="3" t="n">
        <v>30</v>
      </c>
      <c r="F21" s="4" t="n">
        <f aca="false">E21*2500</f>
        <v>75000</v>
      </c>
    </row>
    <row r="22" customFormat="false" ht="15" hidden="false" customHeight="false" outlineLevel="0" collapsed="false">
      <c r="A22" s="2" t="n">
        <v>46176</v>
      </c>
      <c r="B22" s="3" t="s">
        <v>23</v>
      </c>
      <c r="C22" s="3" t="s">
        <v>7</v>
      </c>
      <c r="D22" s="3" t="s">
        <v>19</v>
      </c>
      <c r="E22" s="3" t="n">
        <v>5</v>
      </c>
      <c r="F22" s="4" t="n">
        <f aca="false">E22*22000</f>
        <v>110000</v>
      </c>
    </row>
    <row r="23" customFormat="false" ht="15" hidden="false" customHeight="false" outlineLevel="0" collapsed="false">
      <c r="A23" s="2" t="n">
        <v>46183</v>
      </c>
      <c r="B23" s="3" t="s">
        <v>23</v>
      </c>
      <c r="C23" s="3" t="s">
        <v>9</v>
      </c>
      <c r="D23" s="3" t="s">
        <v>16</v>
      </c>
      <c r="E23" s="3" t="n">
        <v>40</v>
      </c>
      <c r="F23" s="4" t="n">
        <f aca="false">E23*1500</f>
        <v>60000</v>
      </c>
    </row>
    <row r="24" customFormat="false" ht="15" hidden="false" customHeight="false" outlineLevel="0" collapsed="false">
      <c r="A24" s="2" t="n">
        <v>46190</v>
      </c>
      <c r="B24" s="3" t="s">
        <v>23</v>
      </c>
      <c r="C24" s="3" t="s">
        <v>11</v>
      </c>
      <c r="D24" s="3" t="s">
        <v>12</v>
      </c>
      <c r="E24" s="3" t="n">
        <v>5</v>
      </c>
      <c r="F24" s="4" t="n">
        <f aca="false">E24*12000</f>
        <v>60000</v>
      </c>
    </row>
    <row r="25" customFormat="false" ht="15" hidden="false" customHeight="false" outlineLevel="0" collapsed="false">
      <c r="A25" s="2" t="n">
        <v>46197</v>
      </c>
      <c r="B25" s="3" t="s">
        <v>23</v>
      </c>
      <c r="C25" s="3" t="s">
        <v>13</v>
      </c>
      <c r="D25" s="3" t="s">
        <v>8</v>
      </c>
      <c r="E25" s="3" t="n">
        <v>2</v>
      </c>
      <c r="F25" s="4" t="n">
        <f aca="false">E25*65000</f>
        <v>130000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3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1</v>
      </c>
      <c r="B1" s="1" t="s">
        <v>24</v>
      </c>
      <c r="C1" s="1" t="s">
        <v>25</v>
      </c>
      <c r="D1" s="1" t="s">
        <v>26</v>
      </c>
      <c r="E1" s="3"/>
      <c r="F1" s="1" t="s">
        <v>2</v>
      </c>
      <c r="G1" s="1" t="s">
        <v>5</v>
      </c>
    </row>
    <row r="2" customFormat="false" ht="15" hidden="false" customHeight="false" outlineLevel="0" collapsed="false">
      <c r="A2" s="3" t="s">
        <v>6</v>
      </c>
      <c r="B2" s="4" t="n">
        <f aca="false">SUMIF('Sales Data'!B2:B25,A2,'Sales Data'!F2:F25)</f>
        <v>347000</v>
      </c>
      <c r="C2" s="3" t="n">
        <f aca="false">SUMIF('Sales Data'!B2:B25,A2,'Sales Data'!E2:E25)</f>
        <v>24</v>
      </c>
      <c r="D2" s="4" t="n">
        <f aca="false">B2*0.18</f>
        <v>62460</v>
      </c>
      <c r="E2" s="3"/>
      <c r="F2" s="3" t="s">
        <v>7</v>
      </c>
      <c r="G2" s="4" t="n">
        <f aca="false">SUMIF('Sales Data'!C2:C25,F2,'Sales Data'!F2:F25)</f>
        <v>516500</v>
      </c>
    </row>
    <row r="3" customFormat="false" ht="15" hidden="false" customHeight="false" outlineLevel="0" collapsed="false">
      <c r="A3" s="3" t="s">
        <v>15</v>
      </c>
      <c r="B3" s="4" t="n">
        <f aca="false">SUMIF('Sales Data'!B2:B25,A3,'Sales Data'!F2:F25)</f>
        <v>175500</v>
      </c>
      <c r="C3" s="3" t="n">
        <f aca="false">SUMIF('Sales Data'!B2:B25,A3,'Sales Data'!E2:E25)</f>
        <v>35</v>
      </c>
      <c r="D3" s="4" t="n">
        <f aca="false">B3*0.17</f>
        <v>29835</v>
      </c>
      <c r="E3" s="3"/>
      <c r="F3" s="3" t="s">
        <v>9</v>
      </c>
      <c r="G3" s="4" t="n">
        <f aca="false">SUMIF('Sales Data'!C2:C25,F3,'Sales Data'!F2:F25)</f>
        <v>593000</v>
      </c>
    </row>
    <row r="4" customFormat="false" ht="15" hidden="false" customHeight="false" outlineLevel="0" collapsed="false">
      <c r="A4" s="3" t="s">
        <v>20</v>
      </c>
      <c r="B4" s="4" t="n">
        <f aca="false">SUMIF('Sales Data'!B2:B25,A4,'Sales Data'!F2:F25)</f>
        <v>443000</v>
      </c>
      <c r="C4" s="3" t="n">
        <f aca="false">SUMIF('Sales Data'!B2:B25,A4,'Sales Data'!E2:E25)</f>
        <v>36</v>
      </c>
      <c r="D4" s="4" t="n">
        <f aca="false">B4*0.2</f>
        <v>88600</v>
      </c>
      <c r="E4" s="3"/>
      <c r="F4" s="3" t="s">
        <v>11</v>
      </c>
      <c r="G4" s="4" t="n">
        <f aca="false">SUMIF('Sales Data'!C2:C25,F4,'Sales Data'!F2:F25)</f>
        <v>309500</v>
      </c>
    </row>
    <row r="5" customFormat="false" ht="15" hidden="false" customHeight="false" outlineLevel="0" collapsed="false">
      <c r="A5" s="3" t="s">
        <v>21</v>
      </c>
      <c r="B5" s="4" t="n">
        <f aca="false">SUMIF('Sales Data'!B2:B25,A5,'Sales Data'!F2:F25)</f>
        <v>241000</v>
      </c>
      <c r="C5" s="3" t="n">
        <f aca="false">SUMIF('Sales Data'!B2:B25,A5,'Sales Data'!E2:E25)</f>
        <v>51</v>
      </c>
      <c r="D5" s="4" t="n">
        <f aca="false">B5*0.19</f>
        <v>45790</v>
      </c>
      <c r="E5" s="3"/>
      <c r="F5" s="3" t="s">
        <v>13</v>
      </c>
      <c r="G5" s="4" t="n">
        <f aca="false">SUMIF('Sales Data'!C2:C25,F5,'Sales Data'!F2:F25)</f>
        <v>539500</v>
      </c>
    </row>
    <row r="6" customFormat="false" ht="15" hidden="false" customHeight="false" outlineLevel="0" collapsed="false">
      <c r="A6" s="3" t="s">
        <v>22</v>
      </c>
      <c r="B6" s="4" t="n">
        <f aca="false">SUMIF('Sales Data'!B2:B25,A6,'Sales Data'!F2:F25)</f>
        <v>392000</v>
      </c>
      <c r="C6" s="3" t="n">
        <f aca="false">SUMIF('Sales Data'!B2:B25,A6,'Sales Data'!E2:E25)</f>
        <v>49</v>
      </c>
      <c r="D6" s="4" t="n">
        <f aca="false">B6*0.195</f>
        <v>76440</v>
      </c>
      <c r="E6" s="3"/>
      <c r="F6" s="3"/>
      <c r="G6" s="3"/>
    </row>
    <row r="7" customFormat="false" ht="15" hidden="false" customHeight="false" outlineLevel="0" collapsed="false">
      <c r="A7" s="3" t="s">
        <v>23</v>
      </c>
      <c r="B7" s="4" t="n">
        <f aca="false">SUMIF('Sales Data'!B2:B25,A7,'Sales Data'!F2:F25)</f>
        <v>360000</v>
      </c>
      <c r="C7" s="3" t="n">
        <f aca="false">SUMIF('Sales Data'!B2:B25,A7,'Sales Data'!E2:E25)</f>
        <v>52</v>
      </c>
      <c r="D7" s="4" t="n">
        <f aca="false">B7*0.198</f>
        <v>71280</v>
      </c>
      <c r="E7" s="3"/>
      <c r="F7" s="3"/>
      <c r="G7" s="3"/>
    </row>
    <row r="8" customFormat="false" ht="15" hidden="false" customHeight="false" outlineLevel="0" collapsed="false">
      <c r="A8" s="3" t="s">
        <v>27</v>
      </c>
      <c r="B8" s="4" t="n">
        <f aca="false">SUM(B2:B7)</f>
        <v>1958500</v>
      </c>
      <c r="C8" s="3" t="n">
        <f aca="false">SUM(C2:C7)</f>
        <v>247</v>
      </c>
      <c r="D8" s="4" t="n">
        <f aca="false">SUM(D2:D7)</f>
        <v>374405</v>
      </c>
      <c r="E8" s="3"/>
      <c r="F8" s="3"/>
      <c r="G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</cols>
  <sheetData>
    <row r="1" customFormat="false" ht="19.7" hidden="false" customHeight="false" outlineLevel="0" collapsed="false">
      <c r="A1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
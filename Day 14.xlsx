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Netflix Data" sheetId="2" state="visible" r:id="rId4"/>
    <sheet name="Analysi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<sst xmlns="http://schemas.openxmlformats.org/spreadsheetml/2006/main" count="201" uniqueCount="84">
  <si>
    <t xml:space="preserve">NETFLIX — CONTENT OVERVIEW</t>
  </si>
  <si>
    <t xml:space="preserve">Interactive-style Excel dashboard | Practice dataset</t>
  </si>
  <si>
    <t xml:space="preserve">TOTAL TITLES</t>
  </si>
  <si>
    <t xml:space="preserve">MOVIES</t>
  </si>
  <si>
    <t xml:space="preserve">TV SHOWS</t>
  </si>
  <si>
    <t xml:space="preserve">AVG IMDb</t>
  </si>
  <si>
    <t xml:space="preserve">Title</t>
  </si>
  <si>
    <t xml:space="preserve">Type</t>
  </si>
  <si>
    <t xml:space="preserve">Genre</t>
  </si>
  <si>
    <t xml:space="preserve">Country</t>
  </si>
  <si>
    <t xml:space="preserve">Release Year</t>
  </si>
  <si>
    <t xml:space="preserve">Seasons</t>
  </si>
  <si>
    <t xml:space="preserve">IMDb Rating</t>
  </si>
  <si>
    <t xml:space="preserve">Episodes</t>
  </si>
  <si>
    <t xml:space="preserve">Stranger Things</t>
  </si>
  <si>
    <t xml:space="preserve">TV Show</t>
  </si>
  <si>
    <t xml:space="preserve">Sci-Fi</t>
  </si>
  <si>
    <t xml:space="preserve">United States</t>
  </si>
  <si>
    <t xml:space="preserve">Wednesday</t>
  </si>
  <si>
    <t xml:space="preserve">Comedy</t>
  </si>
  <si>
    <t xml:space="preserve">The Crown</t>
  </si>
  <si>
    <t xml:space="preserve">Drama</t>
  </si>
  <si>
    <t xml:space="preserve">United Kingdom</t>
  </si>
  <si>
    <t xml:space="preserve">Money Heist</t>
  </si>
  <si>
    <t xml:space="preserve">Crime</t>
  </si>
  <si>
    <t xml:space="preserve">Spain</t>
  </si>
  <si>
    <t xml:space="preserve">Bridgerton</t>
  </si>
  <si>
    <t xml:space="preserve">Romance</t>
  </si>
  <si>
    <t xml:space="preserve">Dark</t>
  </si>
  <si>
    <t xml:space="preserve">Germany</t>
  </si>
  <si>
    <t xml:space="preserve">Squid Game</t>
  </si>
  <si>
    <t xml:space="preserve">Thriller</t>
  </si>
  <si>
    <t xml:space="preserve">South Korea</t>
  </si>
  <si>
    <t xml:space="preserve">Narcos</t>
  </si>
  <si>
    <t xml:space="preserve">Black Mirror</t>
  </si>
  <si>
    <t xml:space="preserve">The Witcher</t>
  </si>
  <si>
    <t xml:space="preserve">Fantasy</t>
  </si>
  <si>
    <t xml:space="preserve">Breaking Bad</t>
  </si>
  <si>
    <t xml:space="preserve">Peaky Blinders</t>
  </si>
  <si>
    <t xml:space="preserve">The Office</t>
  </si>
  <si>
    <t xml:space="preserve">Lupin</t>
  </si>
  <si>
    <t xml:space="preserve">Mystery</t>
  </si>
  <si>
    <t xml:space="preserve">France</t>
  </si>
  <si>
    <t xml:space="preserve">All of Us Are Dead</t>
  </si>
  <si>
    <t xml:space="preserve">Horror</t>
  </si>
  <si>
    <t xml:space="preserve">Delhi Crime</t>
  </si>
  <si>
    <t xml:space="preserve">India</t>
  </si>
  <si>
    <t xml:space="preserve">Sacred Games</t>
  </si>
  <si>
    <t xml:space="preserve">Kota Factory</t>
  </si>
  <si>
    <t xml:space="preserve">The Railway Men</t>
  </si>
  <si>
    <t xml:space="preserve">Dark Winds</t>
  </si>
  <si>
    <t xml:space="preserve">The Irishman</t>
  </si>
  <si>
    <t xml:space="preserve">Movie</t>
  </si>
  <si>
    <t xml:space="preserve">Extraction</t>
  </si>
  <si>
    <t xml:space="preserve">Action</t>
  </si>
  <si>
    <t xml:space="preserve">Red Notice</t>
  </si>
  <si>
    <t xml:space="preserve">The Gray Man</t>
  </si>
  <si>
    <t xml:space="preserve">Bird Box</t>
  </si>
  <si>
    <t xml:space="preserve">Roma</t>
  </si>
  <si>
    <t xml:space="preserve">Mexico</t>
  </si>
  <si>
    <t xml:space="preserve">The Platform</t>
  </si>
  <si>
    <t xml:space="preserve">RRR</t>
  </si>
  <si>
    <t xml:space="preserve">Dangal</t>
  </si>
  <si>
    <t xml:space="preserve">Jawan</t>
  </si>
  <si>
    <t xml:space="preserve">3 Idiots</t>
  </si>
  <si>
    <t xml:space="preserve">Klaus</t>
  </si>
  <si>
    <t xml:space="preserve">Animation</t>
  </si>
  <si>
    <t xml:space="preserve">Enola Holmes</t>
  </si>
  <si>
    <t xml:space="preserve">The Adam Project</t>
  </si>
  <si>
    <t xml:space="preserve">Ma Rainey's Black Bottom</t>
  </si>
  <si>
    <t xml:space="preserve">All Quiet on the Western Front</t>
  </si>
  <si>
    <t xml:space="preserve">War</t>
  </si>
  <si>
    <t xml:space="preserve">Glass Onion</t>
  </si>
  <si>
    <t xml:space="preserve">The Killer</t>
  </si>
  <si>
    <t xml:space="preserve">The Social Network</t>
  </si>
  <si>
    <t xml:space="preserve">The Sea Beast</t>
  </si>
  <si>
    <t xml:space="preserve">Metric</t>
  </si>
  <si>
    <t xml:space="preserve">Value</t>
  </si>
  <si>
    <t xml:space="preserve">Titles</t>
  </si>
  <si>
    <t xml:space="preserve">Total Titles</t>
  </si>
  <si>
    <t xml:space="preserve">Movies</t>
  </si>
  <si>
    <t xml:space="preserve">TV Shows</t>
  </si>
  <si>
    <t xml:space="preserve">Average IMDb Rating</t>
  </si>
  <si>
    <t xml:space="preserve">Countries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</si>
</sst>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FFFFFF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20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20710"/>
        <bgColor rgb="FF800000"/>
      </patternFill>
    </fill>
    <fill>
      <patternFill patternType="solid">
        <fgColor rgb="FF171717"/>
        <bgColor rgb="FF0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B2071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2071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Titles by Release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Analysis!H1</c:f>
              <c:strCache>
                <c:ptCount val="1"/>
                <c:pt idx="0">
                  <c:v>Titles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Analysis!$G$2:$G$11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Analysis!$H$2:$H$11</c:f>
              <c:numCache>
                <c:formatCode>General</c:formatCode>
                <c:ptCount val="10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6</c:v>
                </c:pt>
                <c:pt idx="5">
                  <c:v>4</c:v>
                </c:pt>
                <c:pt idx="6">
                  <c:v>3</c:v>
                </c:pt>
                <c:pt idx="7">
                  <c:v>9</c:v>
                </c:pt>
                <c:pt idx="8">
                  <c:v>3</c:v>
                </c:pt>
                <c:pt idx="9">
                  <c:v>0</c:v>
                </c:pt>
              </c:numCache>
            </c:numRef>
          </c:val>
        </c:ser>
        <c:gapWidth val="150"/>
        <c:overlap val="0"/>
        <c:axId val="57352488"/>
        <c:axId val="34646656"/>
      </c:barChart>
      <c:catAx>
        <c:axId val="573524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646656"/>
        <c:crosses val="autoZero"/>
        <c:auto val="1"/>
        <c:lblAlgn val="ctr"/>
        <c:lblOffset val="100"/>
        <c:noMultiLvlLbl val="0"/>
      </c:catAx>
      <c:valAx>
        <c:axId val="346466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Titles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73524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Movies vs TV Shows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Analysis!E1</c:f>
              <c:strCache>
                <c:ptCount val="1"/>
                <c:pt idx="0">
                  <c:v>Titles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Analysis!$D$2:$D$3</c:f>
              <c:strCache>
                <c:ptCount val="2"/>
                <c:pt idx="0">
                  <c:v>Movie</c:v>
                </c:pt>
                <c:pt idx="1">
                  <c:v>TV Show</c:v>
                </c:pt>
              </c:strCache>
            </c:strRef>
          </c:cat>
          <c:val>
            <c:numRef>
              <c:f>Analysis!$E$2:$E$3</c:f>
              <c:numCache>
                <c:formatCode>General</c:formatCode>
                <c:ptCount val="2"/>
                <c:pt idx="0">
                  <c:v>20</c:v>
                </c:pt>
                <c:pt idx="1">
                  <c:v>20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Titles by Genre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Analysis!K1</c:f>
              <c:strCache>
                <c:ptCount val="1"/>
                <c:pt idx="0">
                  <c:v>Titles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Analysis!$J$2:$J$13</c:f>
              <c:strCache>
                <c:ptCount val="12"/>
                <c:pt idx="0">
                  <c:v>Action</c:v>
                </c:pt>
                <c:pt idx="1">
                  <c:v>Animation</c:v>
                </c:pt>
                <c:pt idx="2">
                  <c:v>Comedy</c:v>
                </c:pt>
                <c:pt idx="3">
                  <c:v>Crime</c:v>
                </c:pt>
                <c:pt idx="4">
                  <c:v>Drama</c:v>
                </c:pt>
                <c:pt idx="5">
                  <c:v>Fantasy</c:v>
                </c:pt>
                <c:pt idx="6">
                  <c:v>Horror</c:v>
                </c:pt>
                <c:pt idx="7">
                  <c:v>Mystery</c:v>
                </c:pt>
                <c:pt idx="8">
                  <c:v>Romance</c:v>
                </c:pt>
                <c:pt idx="9">
                  <c:v>Sci-Fi</c:v>
                </c:pt>
                <c:pt idx="10">
                  <c:v>Thriller</c:v>
                </c:pt>
                <c:pt idx="11">
                  <c:v>War</c:v>
                </c:pt>
              </c:strCache>
            </c:strRef>
          </c:cat>
          <c:val>
            <c:numRef>
              <c:f>Analysis!$K$2:$K$13</c:f>
              <c:numCache>
                <c:formatCode>General</c:formatCode>
                <c:ptCount val="12"/>
                <c:pt idx="0">
                  <c:v>5</c:v>
                </c:pt>
                <c:pt idx="1">
                  <c:v>2</c:v>
                </c:pt>
                <c:pt idx="2">
                  <c:v>3</c:v>
                </c:pt>
                <c:pt idx="3">
                  <c:v>8</c:v>
                </c:pt>
                <c:pt idx="4">
                  <c:v>7</c:v>
                </c:pt>
                <c:pt idx="5">
                  <c:v>1</c:v>
                </c:pt>
                <c:pt idx="6">
                  <c:v>1</c:v>
                </c:pt>
                <c:pt idx="7">
                  <c:v>4</c:v>
                </c:pt>
                <c:pt idx="8">
                  <c:v>1</c:v>
                </c:pt>
                <c:pt idx="9">
                  <c:v>4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</c:ser>
        <c:gapWidth val="150"/>
        <c:overlap val="0"/>
        <c:axId val="30718921"/>
        <c:axId val="96527869"/>
      </c:barChart>
      <c:catAx>
        <c:axId val="307189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6527869"/>
        <c:crosses val="autoZero"/>
        <c:auto val="1"/>
        <c:lblAlgn val="ctr"/>
        <c:lblOffset val="100"/>
        <c:noMultiLvlLbl val="0"/>
      </c:catAx>
      <c:valAx>
        <c:axId val="965278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07189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0</xdr:rowOff>
    </xdr:from>
    <xdr:to>
      <xdr:col>5</xdr:col>
      <xdr:colOff>98280</xdr:colOff>
      <xdr:row>22</xdr:row>
      <xdr:rowOff>32760</xdr:rowOff>
    </xdr:to>
    <xdr:graphicFrame>
      <xdr:nvGraphicFramePr>
        <xdr:cNvPr id="0" name="Chart 1"/>
        <xdr:cNvGraphicFramePr/>
      </xdr:nvGraphicFramePr>
      <xdr:xfrm>
        <a:off x="0" y="181944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8</xdr:row>
      <xdr:rowOff>0</xdr:rowOff>
    </xdr:from>
    <xdr:to>
      <xdr:col>10</xdr:col>
      <xdr:colOff>850680</xdr:colOff>
      <xdr:row>22</xdr:row>
      <xdr:rowOff>32760</xdr:rowOff>
    </xdr:to>
    <xdr:graphicFrame>
      <xdr:nvGraphicFramePr>
        <xdr:cNvPr id="1" name="Chart 2"/>
        <xdr:cNvGraphicFramePr/>
      </xdr:nvGraphicFramePr>
      <xdr:xfrm>
        <a:off x="6414120" y="1819440"/>
        <a:ext cx="35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24</xdr:row>
      <xdr:rowOff>0</xdr:rowOff>
    </xdr:from>
    <xdr:to>
      <xdr:col>5</xdr:col>
      <xdr:colOff>458280</xdr:colOff>
      <xdr:row>39</xdr:row>
      <xdr:rowOff>21960</xdr:rowOff>
    </xdr:to>
    <xdr:graphicFrame>
      <xdr:nvGraphicFramePr>
        <xdr:cNvPr id="2" name="Chart 3"/>
        <xdr:cNvGraphicFramePr/>
      </xdr:nvGraphicFramePr>
      <xdr:xfrm>
        <a:off x="0" y="486720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NetflixCatalog" displayName="NetflixCatalog" ref="A1:H41" headerRowCount="1" totalsRowCount="0" totalsRowShown="0">
  <autoFilter ref="A1:H41"/>
  <tableColumns count="8">
    <tableColumn id="1" name="Title"/>
    <tableColumn id="2" name="Type"/>
    <tableColumn id="3" name="Genre"/>
    <tableColumn id="4" name="Country"/>
    <tableColumn id="5" name="Release Year"/>
    <tableColumn id="6" name="Seasons"/>
    <tableColumn id="7" name="IMDb Rating"/>
    <tableColumn id="8" name="Episod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4" min="1" style="0" width="13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customFormat="false" ht="21.75" hidden="false" customHeight="true" outlineLevel="0" collapsed="false">
      <c r="A5" s="3" t="s">
        <v>2</v>
      </c>
      <c r="B5" s="3"/>
      <c r="C5" s="3"/>
      <c r="D5" s="3" t="s">
        <v>3</v>
      </c>
      <c r="E5" s="3"/>
      <c r="F5" s="3"/>
      <c r="G5" s="3" t="s">
        <v>4</v>
      </c>
      <c r="H5" s="3"/>
      <c r="I5" s="3"/>
      <c r="J5" s="3" t="s">
        <v>5</v>
      </c>
      <c r="K5" s="3"/>
      <c r="L5" s="3"/>
    </row>
    <row r="6" customFormat="false" ht="31.5" hidden="false" customHeight="true" outlineLevel="0" collapsed="false">
      <c r="A6" s="4" t="n">
        <f aca="false">Analysis!B2</f>
        <v>40</v>
      </c>
      <c r="B6" s="4"/>
      <c r="C6" s="4"/>
      <c r="D6" s="4" t="n">
        <f aca="false">Analysis!B3</f>
        <v>20</v>
      </c>
      <c r="E6" s="4"/>
      <c r="F6" s="4"/>
      <c r="G6" s="4" t="n">
        <f aca="false">Analysis!B4</f>
        <v>20</v>
      </c>
      <c r="H6" s="4"/>
      <c r="I6" s="4"/>
      <c r="J6" s="4" t="n">
        <f aca="false">Analysis!B5</f>
        <v>7.81</v>
      </c>
      <c r="K6" s="4"/>
      <c r="L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</sheetData>
  <mergeCells count="10">
    <mergeCell ref="A1:N2"/>
    <mergeCell ref="A3:N3"/>
    <mergeCell ref="A5:C5"/>
    <mergeCell ref="D5:F5"/>
    <mergeCell ref="G5:I5"/>
    <mergeCell ref="J5:L5"/>
    <mergeCell ref="A6:C7"/>
    <mergeCell ref="D6:F7"/>
    <mergeCell ref="G6:I7"/>
    <mergeCell ref="J6:L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5" t="s">
        <v>12</v>
      </c>
      <c r="H1" s="5" t="s">
        <v>13</v>
      </c>
    </row>
    <row r="2" customFormat="false" ht="15" hidden="false" customHeight="false" outlineLevel="0" collapsed="false">
      <c r="A2" s="0" t="s">
        <v>14</v>
      </c>
      <c r="B2" s="0" t="s">
        <v>15</v>
      </c>
      <c r="C2" s="0" t="s">
        <v>16</v>
      </c>
      <c r="D2" s="0" t="s">
        <v>17</v>
      </c>
      <c r="E2" s="0" t="n">
        <v>2016</v>
      </c>
      <c r="F2" s="0" t="n">
        <v>4</v>
      </c>
      <c r="G2" s="0" t="n">
        <v>8.7</v>
      </c>
      <c r="H2" s="0" t="n">
        <v>34</v>
      </c>
    </row>
    <row r="3" customFormat="false" ht="15" hidden="false" customHeight="false" outlineLevel="0" collapsed="false">
      <c r="A3" s="0" t="s">
        <v>18</v>
      </c>
      <c r="B3" s="0" t="s">
        <v>15</v>
      </c>
      <c r="C3" s="0" t="s">
        <v>19</v>
      </c>
      <c r="D3" s="0" t="s">
        <v>17</v>
      </c>
      <c r="E3" s="0" t="n">
        <v>2022</v>
      </c>
      <c r="F3" s="0" t="n">
        <v>2</v>
      </c>
      <c r="G3" s="0" t="n">
        <v>8</v>
      </c>
      <c r="H3" s="0" t="n">
        <v>16</v>
      </c>
    </row>
    <row r="4" customFormat="false" ht="15" hidden="false" customHeight="false" outlineLevel="0" collapsed="false">
      <c r="A4" s="0" t="s">
        <v>20</v>
      </c>
      <c r="B4" s="0" t="s">
        <v>15</v>
      </c>
      <c r="C4" s="0" t="s">
        <v>21</v>
      </c>
      <c r="D4" s="0" t="s">
        <v>22</v>
      </c>
      <c r="E4" s="0" t="n">
        <v>2016</v>
      </c>
      <c r="F4" s="0" t="n">
        <v>6</v>
      </c>
      <c r="G4" s="0" t="n">
        <v>8.6</v>
      </c>
      <c r="H4" s="0" t="n">
        <v>60</v>
      </c>
    </row>
    <row r="5" customFormat="false" ht="15" hidden="false" customHeight="false" outlineLevel="0" collapsed="false">
      <c r="A5" s="0" t="s">
        <v>23</v>
      </c>
      <c r="B5" s="0" t="s">
        <v>15</v>
      </c>
      <c r="C5" s="0" t="s">
        <v>24</v>
      </c>
      <c r="D5" s="0" t="s">
        <v>25</v>
      </c>
      <c r="E5" s="0" t="n">
        <v>2017</v>
      </c>
      <c r="F5" s="0" t="n">
        <v>5</v>
      </c>
      <c r="G5" s="0" t="n">
        <v>8.2</v>
      </c>
      <c r="H5" s="0" t="n">
        <v>41</v>
      </c>
    </row>
    <row r="6" customFormat="false" ht="15" hidden="false" customHeight="false" outlineLevel="0" collapsed="false">
      <c r="A6" s="0" t="s">
        <v>26</v>
      </c>
      <c r="B6" s="0" t="s">
        <v>15</v>
      </c>
      <c r="C6" s="0" t="s">
        <v>27</v>
      </c>
      <c r="D6" s="0" t="s">
        <v>17</v>
      </c>
      <c r="E6" s="0" t="n">
        <v>2020</v>
      </c>
      <c r="F6" s="0" t="n">
        <v>3</v>
      </c>
      <c r="G6" s="0" t="n">
        <v>7.4</v>
      </c>
      <c r="H6" s="0" t="n">
        <v>24</v>
      </c>
    </row>
    <row r="7" customFormat="false" ht="15" hidden="false" customHeight="false" outlineLevel="0" collapsed="false">
      <c r="A7" s="0" t="s">
        <v>28</v>
      </c>
      <c r="B7" s="0" t="s">
        <v>15</v>
      </c>
      <c r="C7" s="0" t="s">
        <v>16</v>
      </c>
      <c r="D7" s="0" t="s">
        <v>29</v>
      </c>
      <c r="E7" s="0" t="n">
        <v>2017</v>
      </c>
      <c r="F7" s="0" t="n">
        <v>3</v>
      </c>
      <c r="G7" s="0" t="n">
        <v>8.7</v>
      </c>
      <c r="H7" s="0" t="n">
        <v>26</v>
      </c>
    </row>
    <row r="8" customFormat="false" ht="15" hidden="false" customHeight="false" outlineLevel="0" collapsed="false">
      <c r="A8" s="0" t="s">
        <v>30</v>
      </c>
      <c r="B8" s="0" t="s">
        <v>15</v>
      </c>
      <c r="C8" s="0" t="s">
        <v>31</v>
      </c>
      <c r="D8" s="0" t="s">
        <v>32</v>
      </c>
      <c r="E8" s="0" t="n">
        <v>2021</v>
      </c>
      <c r="F8" s="0" t="n">
        <v>2</v>
      </c>
      <c r="G8" s="0" t="n">
        <v>8</v>
      </c>
      <c r="H8" s="0" t="n">
        <v>16</v>
      </c>
    </row>
    <row r="9" customFormat="false" ht="15" hidden="false" customHeight="false" outlineLevel="0" collapsed="false">
      <c r="A9" s="0" t="s">
        <v>33</v>
      </c>
      <c r="B9" s="0" t="s">
        <v>15</v>
      </c>
      <c r="C9" s="0" t="s">
        <v>24</v>
      </c>
      <c r="D9" s="0" t="s">
        <v>17</v>
      </c>
      <c r="E9" s="0" t="n">
        <v>2015</v>
      </c>
      <c r="F9" s="0" t="n">
        <v>3</v>
      </c>
      <c r="G9" s="0" t="n">
        <v>8.8</v>
      </c>
      <c r="H9" s="0" t="n">
        <v>30</v>
      </c>
    </row>
    <row r="10" customFormat="false" ht="15" hidden="false" customHeight="false" outlineLevel="0" collapsed="false">
      <c r="A10" s="0" t="s">
        <v>34</v>
      </c>
      <c r="B10" s="0" t="s">
        <v>15</v>
      </c>
      <c r="C10" s="0" t="s">
        <v>16</v>
      </c>
      <c r="D10" s="0" t="s">
        <v>22</v>
      </c>
      <c r="E10" s="0" t="n">
        <v>2011</v>
      </c>
      <c r="F10" s="0" t="n">
        <v>6</v>
      </c>
      <c r="G10" s="0" t="n">
        <v>8.7</v>
      </c>
      <c r="H10" s="0" t="n">
        <v>27</v>
      </c>
    </row>
    <row r="11" customFormat="false" ht="15" hidden="false" customHeight="false" outlineLevel="0" collapsed="false">
      <c r="A11" s="0" t="s">
        <v>35</v>
      </c>
      <c r="B11" s="0" t="s">
        <v>15</v>
      </c>
      <c r="C11" s="0" t="s">
        <v>36</v>
      </c>
      <c r="D11" s="0" t="s">
        <v>17</v>
      </c>
      <c r="E11" s="0" t="n">
        <v>2019</v>
      </c>
      <c r="F11" s="0" t="n">
        <v>3</v>
      </c>
      <c r="G11" s="0" t="n">
        <v>8</v>
      </c>
      <c r="H11" s="0" t="n">
        <v>24</v>
      </c>
    </row>
    <row r="12" customFormat="false" ht="15" hidden="false" customHeight="false" outlineLevel="0" collapsed="false">
      <c r="A12" s="0" t="s">
        <v>37</v>
      </c>
      <c r="B12" s="0" t="s">
        <v>15</v>
      </c>
      <c r="C12" s="0" t="s">
        <v>24</v>
      </c>
      <c r="D12" s="0" t="s">
        <v>17</v>
      </c>
      <c r="E12" s="0" t="n">
        <v>2008</v>
      </c>
      <c r="F12" s="0" t="n">
        <v>5</v>
      </c>
      <c r="G12" s="0" t="n">
        <v>9.5</v>
      </c>
      <c r="H12" s="0" t="n">
        <v>62</v>
      </c>
    </row>
    <row r="13" customFormat="false" ht="15" hidden="false" customHeight="false" outlineLevel="0" collapsed="false">
      <c r="A13" s="0" t="s">
        <v>38</v>
      </c>
      <c r="B13" s="0" t="s">
        <v>15</v>
      </c>
      <c r="C13" s="0" t="s">
        <v>24</v>
      </c>
      <c r="D13" s="0" t="s">
        <v>22</v>
      </c>
      <c r="E13" s="0" t="n">
        <v>2013</v>
      </c>
      <c r="F13" s="0" t="n">
        <v>6</v>
      </c>
      <c r="G13" s="0" t="n">
        <v>8.8</v>
      </c>
      <c r="H13" s="0" t="n">
        <v>36</v>
      </c>
    </row>
    <row r="14" customFormat="false" ht="15" hidden="false" customHeight="false" outlineLevel="0" collapsed="false">
      <c r="A14" s="0" t="s">
        <v>39</v>
      </c>
      <c r="B14" s="0" t="s">
        <v>15</v>
      </c>
      <c r="C14" s="0" t="s">
        <v>19</v>
      </c>
      <c r="D14" s="0" t="s">
        <v>17</v>
      </c>
      <c r="E14" s="0" t="n">
        <v>2005</v>
      </c>
      <c r="F14" s="0" t="n">
        <v>9</v>
      </c>
      <c r="G14" s="0" t="n">
        <v>9</v>
      </c>
      <c r="H14" s="0" t="n">
        <v>201</v>
      </c>
    </row>
    <row r="15" customFormat="false" ht="15" hidden="false" customHeight="false" outlineLevel="0" collapsed="false">
      <c r="A15" s="0" t="s">
        <v>40</v>
      </c>
      <c r="B15" s="0" t="s">
        <v>15</v>
      </c>
      <c r="C15" s="0" t="s">
        <v>41</v>
      </c>
      <c r="D15" s="0" t="s">
        <v>42</v>
      </c>
      <c r="E15" s="0" t="n">
        <v>2021</v>
      </c>
      <c r="F15" s="0" t="n">
        <v>3</v>
      </c>
      <c r="G15" s="0" t="n">
        <v>7.5</v>
      </c>
      <c r="H15" s="0" t="n">
        <v>17</v>
      </c>
    </row>
    <row r="16" customFormat="false" ht="15" hidden="false" customHeight="false" outlineLevel="0" collapsed="false">
      <c r="A16" s="0" t="s">
        <v>43</v>
      </c>
      <c r="B16" s="0" t="s">
        <v>15</v>
      </c>
      <c r="C16" s="0" t="s">
        <v>44</v>
      </c>
      <c r="D16" s="0" t="s">
        <v>32</v>
      </c>
      <c r="E16" s="0" t="n">
        <v>2022</v>
      </c>
      <c r="F16" s="0" t="n">
        <v>1</v>
      </c>
      <c r="G16" s="0" t="n">
        <v>7.5</v>
      </c>
      <c r="H16" s="0" t="n">
        <v>12</v>
      </c>
    </row>
    <row r="17" customFormat="false" ht="15" hidden="false" customHeight="false" outlineLevel="0" collapsed="false">
      <c r="A17" s="0" t="s">
        <v>45</v>
      </c>
      <c r="B17" s="0" t="s">
        <v>15</v>
      </c>
      <c r="C17" s="0" t="s">
        <v>24</v>
      </c>
      <c r="D17" s="0" t="s">
        <v>46</v>
      </c>
      <c r="E17" s="0" t="n">
        <v>2019</v>
      </c>
      <c r="F17" s="0" t="n">
        <v>2</v>
      </c>
      <c r="G17" s="0" t="n">
        <v>8.5</v>
      </c>
      <c r="H17" s="0" t="n">
        <v>14</v>
      </c>
    </row>
    <row r="18" customFormat="false" ht="15" hidden="false" customHeight="false" outlineLevel="0" collapsed="false">
      <c r="A18" s="0" t="s">
        <v>47</v>
      </c>
      <c r="B18" s="0" t="s">
        <v>15</v>
      </c>
      <c r="C18" s="0" t="s">
        <v>24</v>
      </c>
      <c r="D18" s="0" t="s">
        <v>46</v>
      </c>
      <c r="E18" s="0" t="n">
        <v>2018</v>
      </c>
      <c r="F18" s="0" t="n">
        <v>2</v>
      </c>
      <c r="G18" s="0" t="n">
        <v>8.5</v>
      </c>
      <c r="H18" s="0" t="n">
        <v>16</v>
      </c>
    </row>
    <row r="19" customFormat="false" ht="15" hidden="false" customHeight="false" outlineLevel="0" collapsed="false">
      <c r="A19" s="0" t="s">
        <v>48</v>
      </c>
      <c r="B19" s="0" t="s">
        <v>15</v>
      </c>
      <c r="C19" s="0" t="s">
        <v>21</v>
      </c>
      <c r="D19" s="0" t="s">
        <v>46</v>
      </c>
      <c r="E19" s="0" t="n">
        <v>2019</v>
      </c>
      <c r="F19" s="0" t="n">
        <v>3</v>
      </c>
      <c r="G19" s="0" t="n">
        <v>9</v>
      </c>
      <c r="H19" s="0" t="n">
        <v>15</v>
      </c>
    </row>
    <row r="20" customFormat="false" ht="15" hidden="false" customHeight="false" outlineLevel="0" collapsed="false">
      <c r="A20" s="0" t="s">
        <v>49</v>
      </c>
      <c r="B20" s="0" t="s">
        <v>15</v>
      </c>
      <c r="C20" s="0" t="s">
        <v>21</v>
      </c>
      <c r="D20" s="0" t="s">
        <v>46</v>
      </c>
      <c r="E20" s="0" t="n">
        <v>2023</v>
      </c>
      <c r="F20" s="0" t="n">
        <v>1</v>
      </c>
      <c r="G20" s="0" t="n">
        <v>8.5</v>
      </c>
      <c r="H20" s="0" t="n">
        <v>4</v>
      </c>
    </row>
    <row r="21" customFormat="false" ht="15" hidden="false" customHeight="false" outlineLevel="0" collapsed="false">
      <c r="A21" s="0" t="s">
        <v>50</v>
      </c>
      <c r="B21" s="0" t="s">
        <v>15</v>
      </c>
      <c r="C21" s="0" t="s">
        <v>41</v>
      </c>
      <c r="D21" s="0" t="s">
        <v>17</v>
      </c>
      <c r="E21" s="0" t="n">
        <v>2022</v>
      </c>
      <c r="F21" s="0" t="n">
        <v>3</v>
      </c>
      <c r="G21" s="0" t="n">
        <v>7.6</v>
      </c>
      <c r="H21" s="0" t="n">
        <v>18</v>
      </c>
    </row>
    <row r="22" customFormat="false" ht="15" hidden="false" customHeight="false" outlineLevel="0" collapsed="false">
      <c r="A22" s="0" t="s">
        <v>51</v>
      </c>
      <c r="B22" s="0" t="s">
        <v>52</v>
      </c>
      <c r="C22" s="0" t="s">
        <v>24</v>
      </c>
      <c r="D22" s="0" t="s">
        <v>17</v>
      </c>
      <c r="E22" s="0" t="n">
        <v>2019</v>
      </c>
      <c r="F22" s="0" t="n">
        <v>1</v>
      </c>
      <c r="G22" s="0" t="n">
        <v>7.8</v>
      </c>
      <c r="H22" s="0" t="n">
        <v>1</v>
      </c>
    </row>
    <row r="23" customFormat="false" ht="15" hidden="false" customHeight="false" outlineLevel="0" collapsed="false">
      <c r="A23" s="0" t="s">
        <v>53</v>
      </c>
      <c r="B23" s="0" t="s">
        <v>52</v>
      </c>
      <c r="C23" s="0" t="s">
        <v>54</v>
      </c>
      <c r="D23" s="0" t="s">
        <v>17</v>
      </c>
      <c r="E23" s="0" t="n">
        <v>2020</v>
      </c>
      <c r="F23" s="0" t="n">
        <v>1</v>
      </c>
      <c r="G23" s="0" t="n">
        <v>6.8</v>
      </c>
      <c r="H23" s="0" t="n">
        <v>1</v>
      </c>
    </row>
    <row r="24" customFormat="false" ht="15" hidden="false" customHeight="false" outlineLevel="0" collapsed="false">
      <c r="A24" s="0" t="s">
        <v>55</v>
      </c>
      <c r="B24" s="0" t="s">
        <v>52</v>
      </c>
      <c r="C24" s="0" t="s">
        <v>54</v>
      </c>
      <c r="D24" s="0" t="s">
        <v>17</v>
      </c>
      <c r="E24" s="0" t="n">
        <v>2021</v>
      </c>
      <c r="F24" s="0" t="n">
        <v>1</v>
      </c>
      <c r="G24" s="0" t="n">
        <v>6.3</v>
      </c>
      <c r="H24" s="0" t="n">
        <v>1</v>
      </c>
    </row>
    <row r="25" customFormat="false" ht="15" hidden="false" customHeight="false" outlineLevel="0" collapsed="false">
      <c r="A25" s="0" t="s">
        <v>56</v>
      </c>
      <c r="B25" s="0" t="s">
        <v>52</v>
      </c>
      <c r="C25" s="0" t="s">
        <v>54</v>
      </c>
      <c r="D25" s="0" t="s">
        <v>17</v>
      </c>
      <c r="E25" s="0" t="n">
        <v>2022</v>
      </c>
      <c r="F25" s="0" t="n">
        <v>1</v>
      </c>
      <c r="G25" s="0" t="n">
        <v>6.5</v>
      </c>
      <c r="H25" s="0" t="n">
        <v>1</v>
      </c>
    </row>
    <row r="26" customFormat="false" ht="15" hidden="false" customHeight="false" outlineLevel="0" collapsed="false">
      <c r="A26" s="0" t="s">
        <v>57</v>
      </c>
      <c r="B26" s="0" t="s">
        <v>52</v>
      </c>
      <c r="C26" s="0" t="s">
        <v>31</v>
      </c>
      <c r="D26" s="0" t="s">
        <v>17</v>
      </c>
      <c r="E26" s="0" t="n">
        <v>2018</v>
      </c>
      <c r="F26" s="0" t="n">
        <v>1</v>
      </c>
      <c r="G26" s="0" t="n">
        <v>6.6</v>
      </c>
      <c r="H26" s="0" t="n">
        <v>1</v>
      </c>
    </row>
    <row r="27" customFormat="false" ht="15" hidden="false" customHeight="false" outlineLevel="0" collapsed="false">
      <c r="A27" s="0" t="s">
        <v>58</v>
      </c>
      <c r="B27" s="0" t="s">
        <v>52</v>
      </c>
      <c r="C27" s="0" t="s">
        <v>21</v>
      </c>
      <c r="D27" s="0" t="s">
        <v>59</v>
      </c>
      <c r="E27" s="0" t="n">
        <v>2018</v>
      </c>
      <c r="F27" s="0" t="n">
        <v>1</v>
      </c>
      <c r="G27" s="0" t="n">
        <v>7.7</v>
      </c>
      <c r="H27" s="0" t="n">
        <v>1</v>
      </c>
    </row>
    <row r="28" customFormat="false" ht="15" hidden="false" customHeight="false" outlineLevel="0" collapsed="false">
      <c r="A28" s="0" t="s">
        <v>60</v>
      </c>
      <c r="B28" s="0" t="s">
        <v>52</v>
      </c>
      <c r="C28" s="0" t="s">
        <v>31</v>
      </c>
      <c r="D28" s="0" t="s">
        <v>25</v>
      </c>
      <c r="E28" s="0" t="n">
        <v>2019</v>
      </c>
      <c r="F28" s="0" t="n">
        <v>1</v>
      </c>
      <c r="G28" s="0" t="n">
        <v>7</v>
      </c>
      <c r="H28" s="0" t="n">
        <v>1</v>
      </c>
    </row>
    <row r="29" customFormat="false" ht="15" hidden="false" customHeight="false" outlineLevel="0" collapsed="false">
      <c r="A29" s="0" t="s">
        <v>61</v>
      </c>
      <c r="B29" s="0" t="s">
        <v>52</v>
      </c>
      <c r="C29" s="0" t="s">
        <v>54</v>
      </c>
      <c r="D29" s="0" t="s">
        <v>46</v>
      </c>
      <c r="E29" s="0" t="n">
        <v>2022</v>
      </c>
      <c r="F29" s="0" t="n">
        <v>1</v>
      </c>
      <c r="G29" s="0" t="n">
        <v>7.8</v>
      </c>
      <c r="H29" s="0" t="n">
        <v>1</v>
      </c>
    </row>
    <row r="30" customFormat="false" ht="15" hidden="false" customHeight="false" outlineLevel="0" collapsed="false">
      <c r="A30" s="0" t="s">
        <v>62</v>
      </c>
      <c r="B30" s="0" t="s">
        <v>52</v>
      </c>
      <c r="C30" s="0" t="s">
        <v>21</v>
      </c>
      <c r="D30" s="0" t="s">
        <v>46</v>
      </c>
      <c r="E30" s="0" t="n">
        <v>2016</v>
      </c>
      <c r="F30" s="0" t="n">
        <v>1</v>
      </c>
      <c r="G30" s="0" t="n">
        <v>8.3</v>
      </c>
      <c r="H30" s="0" t="n">
        <v>1</v>
      </c>
    </row>
    <row r="31" customFormat="false" ht="15" hidden="false" customHeight="false" outlineLevel="0" collapsed="false">
      <c r="A31" s="0" t="s">
        <v>63</v>
      </c>
      <c r="B31" s="0" t="s">
        <v>52</v>
      </c>
      <c r="C31" s="0" t="s">
        <v>54</v>
      </c>
      <c r="D31" s="0" t="s">
        <v>46</v>
      </c>
      <c r="E31" s="0" t="n">
        <v>2023</v>
      </c>
      <c r="F31" s="0" t="n">
        <v>1</v>
      </c>
      <c r="G31" s="0" t="n">
        <v>6.9</v>
      </c>
      <c r="H31" s="0" t="n">
        <v>1</v>
      </c>
    </row>
    <row r="32" customFormat="false" ht="15" hidden="false" customHeight="false" outlineLevel="0" collapsed="false">
      <c r="A32" s="0" t="s">
        <v>64</v>
      </c>
      <c r="B32" s="0" t="s">
        <v>52</v>
      </c>
      <c r="C32" s="0" t="s">
        <v>19</v>
      </c>
      <c r="D32" s="0" t="s">
        <v>46</v>
      </c>
      <c r="E32" s="0" t="n">
        <v>2009</v>
      </c>
      <c r="F32" s="0" t="n">
        <v>1</v>
      </c>
      <c r="G32" s="0" t="n">
        <v>8.4</v>
      </c>
      <c r="H32" s="0" t="n">
        <v>1</v>
      </c>
    </row>
    <row r="33" customFormat="false" ht="15" hidden="false" customHeight="false" outlineLevel="0" collapsed="false">
      <c r="A33" s="0" t="s">
        <v>65</v>
      </c>
      <c r="B33" s="0" t="s">
        <v>52</v>
      </c>
      <c r="C33" s="0" t="s">
        <v>66</v>
      </c>
      <c r="D33" s="0" t="s">
        <v>25</v>
      </c>
      <c r="E33" s="0" t="n">
        <v>2019</v>
      </c>
      <c r="F33" s="0" t="n">
        <v>1</v>
      </c>
      <c r="G33" s="0" t="n">
        <v>8.2</v>
      </c>
      <c r="H33" s="0" t="n">
        <v>1</v>
      </c>
    </row>
    <row r="34" customFormat="false" ht="15" hidden="false" customHeight="false" outlineLevel="0" collapsed="false">
      <c r="A34" s="0" t="s">
        <v>67</v>
      </c>
      <c r="B34" s="0" t="s">
        <v>52</v>
      </c>
      <c r="C34" s="0" t="s">
        <v>41</v>
      </c>
      <c r="D34" s="0" t="s">
        <v>22</v>
      </c>
      <c r="E34" s="0" t="n">
        <v>2020</v>
      </c>
      <c r="F34" s="0" t="n">
        <v>1</v>
      </c>
      <c r="G34" s="0" t="n">
        <v>6.6</v>
      </c>
      <c r="H34" s="0" t="n">
        <v>1</v>
      </c>
    </row>
    <row r="35" customFormat="false" ht="15" hidden="false" customHeight="false" outlineLevel="0" collapsed="false">
      <c r="A35" s="0" t="s">
        <v>68</v>
      </c>
      <c r="B35" s="0" t="s">
        <v>52</v>
      </c>
      <c r="C35" s="0" t="s">
        <v>16</v>
      </c>
      <c r="D35" s="0" t="s">
        <v>17</v>
      </c>
      <c r="E35" s="0" t="n">
        <v>2022</v>
      </c>
      <c r="F35" s="0" t="n">
        <v>1</v>
      </c>
      <c r="G35" s="0" t="n">
        <v>6.7</v>
      </c>
      <c r="H35" s="0" t="n">
        <v>1</v>
      </c>
    </row>
    <row r="36" customFormat="false" ht="15" hidden="false" customHeight="false" outlineLevel="0" collapsed="false">
      <c r="A36" s="0" t="s">
        <v>69</v>
      </c>
      <c r="B36" s="0" t="s">
        <v>52</v>
      </c>
      <c r="C36" s="0" t="s">
        <v>21</v>
      </c>
      <c r="D36" s="0" t="s">
        <v>17</v>
      </c>
      <c r="E36" s="0" t="n">
        <v>2020</v>
      </c>
      <c r="F36" s="0" t="n">
        <v>1</v>
      </c>
      <c r="G36" s="0" t="n">
        <v>6.9</v>
      </c>
      <c r="H36" s="0" t="n">
        <v>1</v>
      </c>
    </row>
    <row r="37" customFormat="false" ht="15" hidden="false" customHeight="false" outlineLevel="0" collapsed="false">
      <c r="A37" s="0" t="s">
        <v>70</v>
      </c>
      <c r="B37" s="0" t="s">
        <v>52</v>
      </c>
      <c r="C37" s="0" t="s">
        <v>71</v>
      </c>
      <c r="D37" s="0" t="s">
        <v>29</v>
      </c>
      <c r="E37" s="0" t="n">
        <v>2022</v>
      </c>
      <c r="F37" s="0" t="n">
        <v>1</v>
      </c>
      <c r="G37" s="0" t="n">
        <v>7.8</v>
      </c>
      <c r="H37" s="0" t="n">
        <v>1</v>
      </c>
    </row>
    <row r="38" customFormat="false" ht="15" hidden="false" customHeight="false" outlineLevel="0" collapsed="false">
      <c r="A38" s="0" t="s">
        <v>72</v>
      </c>
      <c r="B38" s="0" t="s">
        <v>52</v>
      </c>
      <c r="C38" s="0" t="s">
        <v>41</v>
      </c>
      <c r="D38" s="0" t="s">
        <v>17</v>
      </c>
      <c r="E38" s="0" t="n">
        <v>2022</v>
      </c>
      <c r="F38" s="0" t="n">
        <v>1</v>
      </c>
      <c r="G38" s="0" t="n">
        <v>7.1</v>
      </c>
      <c r="H38" s="0" t="n">
        <v>1</v>
      </c>
    </row>
    <row r="39" customFormat="false" ht="15" hidden="false" customHeight="false" outlineLevel="0" collapsed="false">
      <c r="A39" s="0" t="s">
        <v>73</v>
      </c>
      <c r="B39" s="0" t="s">
        <v>52</v>
      </c>
      <c r="C39" s="0" t="s">
        <v>24</v>
      </c>
      <c r="D39" s="0" t="s">
        <v>17</v>
      </c>
      <c r="E39" s="0" t="n">
        <v>2023</v>
      </c>
      <c r="F39" s="0" t="n">
        <v>1</v>
      </c>
      <c r="G39" s="0" t="n">
        <v>6.7</v>
      </c>
      <c r="H39" s="0" t="n">
        <v>1</v>
      </c>
    </row>
    <row r="40" customFormat="false" ht="15" hidden="false" customHeight="false" outlineLevel="0" collapsed="false">
      <c r="A40" s="0" t="s">
        <v>74</v>
      </c>
      <c r="B40" s="0" t="s">
        <v>52</v>
      </c>
      <c r="C40" s="0" t="s">
        <v>21</v>
      </c>
      <c r="D40" s="0" t="s">
        <v>17</v>
      </c>
      <c r="E40" s="0" t="n">
        <v>2010</v>
      </c>
      <c r="F40" s="0" t="n">
        <v>1</v>
      </c>
      <c r="G40" s="0" t="n">
        <v>7.8</v>
      </c>
      <c r="H40" s="0" t="n">
        <v>1</v>
      </c>
    </row>
    <row r="41" customFormat="false" ht="15" hidden="false" customHeight="false" outlineLevel="0" collapsed="false">
      <c r="A41" s="0" t="s">
        <v>75</v>
      </c>
      <c r="B41" s="0" t="s">
        <v>52</v>
      </c>
      <c r="C41" s="0" t="s">
        <v>66</v>
      </c>
      <c r="D41" s="0" t="s">
        <v>17</v>
      </c>
      <c r="E41" s="0" t="n">
        <v>2022</v>
      </c>
      <c r="F41" s="0" t="n">
        <v>1</v>
      </c>
      <c r="G41" s="0" t="n">
        <v>7</v>
      </c>
      <c r="H41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1" min="1" style="0" width="18"/>
  </cols>
  <sheetData>
    <row r="1" customFormat="false" ht="15" hidden="false" customHeight="false" outlineLevel="0" collapsed="false">
      <c r="A1" s="5" t="s">
        <v>76</v>
      </c>
      <c r="B1" s="5" t="s">
        <v>77</v>
      </c>
      <c r="C1" s="5"/>
      <c r="D1" s="5" t="s">
        <v>7</v>
      </c>
      <c r="E1" s="5" t="s">
        <v>78</v>
      </c>
      <c r="F1" s="5"/>
      <c r="G1" s="5" t="s">
        <v>10</v>
      </c>
      <c r="H1" s="5" t="s">
        <v>78</v>
      </c>
      <c r="I1" s="5"/>
      <c r="J1" s="5" t="s">
        <v>8</v>
      </c>
      <c r="K1" s="5" t="s">
        <v>78</v>
      </c>
    </row>
    <row r="2" customFormat="false" ht="15" hidden="false" customHeight="false" outlineLevel="0" collapsed="false">
      <c r="A2" s="0" t="s">
        <v>79</v>
      </c>
      <c r="B2" s="0" t="n">
        <f aca="false">COUNTA('Netflix Data'!A2:A41)</f>
        <v>40</v>
      </c>
      <c r="D2" s="0" t="s">
        <v>52</v>
      </c>
      <c r="E2" s="0" t="n">
        <f aca="false">COUNTIF('Netflix Data'!B2:B41,D2)</f>
        <v>20</v>
      </c>
      <c r="G2" s="0" t="n">
        <v>2015</v>
      </c>
      <c r="H2" s="0" t="n">
        <f aca="false">COUNTIF('Netflix Data'!E2:E41,G2)</f>
        <v>1</v>
      </c>
      <c r="J2" s="0" t="s">
        <v>54</v>
      </c>
      <c r="K2" s="0" t="n">
        <f aca="false">COUNTIF('Netflix Data'!C2:C41,J2)</f>
        <v>5</v>
      </c>
    </row>
    <row r="3" customFormat="false" ht="15" hidden="false" customHeight="false" outlineLevel="0" collapsed="false">
      <c r="A3" s="0" t="s">
        <v>80</v>
      </c>
      <c r="B3" s="0" t="n">
        <f aca="false">COUNTIF('Netflix Data'!B2:B41,"Movie")</f>
        <v>20</v>
      </c>
      <c r="D3" s="0" t="s">
        <v>15</v>
      </c>
      <c r="E3" s="0" t="n">
        <f aca="false">COUNTIF('Netflix Data'!B2:B41,D3)</f>
        <v>20</v>
      </c>
      <c r="G3" s="0" t="n">
        <v>2016</v>
      </c>
      <c r="H3" s="0" t="n">
        <f aca="false">COUNTIF('Netflix Data'!E2:E41,G3)</f>
        <v>3</v>
      </c>
      <c r="J3" s="0" t="s">
        <v>66</v>
      </c>
      <c r="K3" s="0" t="n">
        <f aca="false">COUNTIF('Netflix Data'!C2:C41,J3)</f>
        <v>2</v>
      </c>
    </row>
    <row r="4" customFormat="false" ht="15" hidden="false" customHeight="false" outlineLevel="0" collapsed="false">
      <c r="A4" s="0" t="s">
        <v>81</v>
      </c>
      <c r="B4" s="0" t="n">
        <f aca="false">COUNTIF('Netflix Data'!B2:B41,"TV Show")</f>
        <v>20</v>
      </c>
      <c r="G4" s="0" t="n">
        <v>2017</v>
      </c>
      <c r="H4" s="0" t="n">
        <f aca="false">COUNTIF('Netflix Data'!E2:E41,G4)</f>
        <v>2</v>
      </c>
      <c r="J4" s="0" t="s">
        <v>19</v>
      </c>
      <c r="K4" s="0" t="n">
        <f aca="false">COUNTIF('Netflix Data'!C2:C41,J4)</f>
        <v>3</v>
      </c>
    </row>
    <row r="5" customFormat="false" ht="15" hidden="false" customHeight="false" outlineLevel="0" collapsed="false">
      <c r="A5" s="0" t="s">
        <v>82</v>
      </c>
      <c r="B5" s="0" t="n">
        <f aca="false">AVERAGE('Netflix Data'!G2:G41)</f>
        <v>7.81</v>
      </c>
      <c r="G5" s="0" t="n">
        <v>2018</v>
      </c>
      <c r="H5" s="0" t="n">
        <f aca="false">COUNTIF('Netflix Data'!E2:E41,G5)</f>
        <v>3</v>
      </c>
      <c r="J5" s="0" t="s">
        <v>24</v>
      </c>
      <c r="K5" s="0" t="n">
        <f aca="false">COUNTIF('Netflix Data'!C2:C41,J5)</f>
        <v>8</v>
      </c>
    </row>
    <row r="6" customFormat="false" ht="15" hidden="false" customHeight="false" outlineLevel="0" collapsed="false">
      <c r="A6" s="0" t="s">
        <v>83</v>
      </c>
      <c r="B6" s="0" t="n">
        <f aca="false">SUMPRODUCT(1/COUNTIF('Netflix Data'!D2:D41,'Netflix Data'!D2:D41))</f>
        <v>8</v>
      </c>
      <c r="G6" s="0" t="n">
        <v>2019</v>
      </c>
      <c r="H6" s="0" t="n">
        <f aca="false">COUNTIF('Netflix Data'!E2:E41,G6)</f>
        <v>6</v>
      </c>
      <c r="J6" s="0" t="s">
        <v>21</v>
      </c>
      <c r="K6" s="0" t="n">
        <f aca="false">COUNTIF('Netflix Data'!C2:C41,J6)</f>
        <v>7</v>
      </c>
    </row>
    <row r="7" customFormat="false" ht="15" hidden="false" customHeight="false" outlineLevel="0" collapsed="false">
      <c r="G7" s="0" t="n">
        <v>2020</v>
      </c>
      <c r="H7" s="0" t="n">
        <f aca="false">COUNTIF('Netflix Data'!E2:E41,G7)</f>
        <v>4</v>
      </c>
      <c r="J7" s="0" t="s">
        <v>36</v>
      </c>
      <c r="K7" s="0" t="n">
        <f aca="false">COUNTIF('Netflix Data'!C2:C41,J7)</f>
        <v>1</v>
      </c>
    </row>
    <row r="8" customFormat="false" ht="15" hidden="false" customHeight="false" outlineLevel="0" collapsed="false">
      <c r="G8" s="0" t="n">
        <v>2021</v>
      </c>
      <c r="H8" s="0" t="n">
        <f aca="false">COUNTIF('Netflix Data'!E2:E41,G8)</f>
        <v>3</v>
      </c>
      <c r="J8" s="0" t="s">
        <v>44</v>
      </c>
      <c r="K8" s="0" t="n">
        <f aca="false">COUNTIF('Netflix Data'!C2:C41,J8)</f>
        <v>1</v>
      </c>
    </row>
    <row r="9" customFormat="false" ht="15" hidden="false" customHeight="false" outlineLevel="0" collapsed="false">
      <c r="G9" s="0" t="n">
        <v>2022</v>
      </c>
      <c r="H9" s="0" t="n">
        <f aca="false">COUNTIF('Netflix Data'!E2:E41,G9)</f>
        <v>9</v>
      </c>
      <c r="J9" s="0" t="s">
        <v>41</v>
      </c>
      <c r="K9" s="0" t="n">
        <f aca="false">COUNTIF('Netflix Data'!C2:C41,J9)</f>
        <v>4</v>
      </c>
    </row>
    <row r="10" customFormat="false" ht="15" hidden="false" customHeight="false" outlineLevel="0" collapsed="false">
      <c r="G10" s="0" t="n">
        <v>2023</v>
      </c>
      <c r="H10" s="0" t="n">
        <f aca="false">COUNTIF('Netflix Data'!E2:E41,G10)</f>
        <v>3</v>
      </c>
      <c r="J10" s="0" t="s">
        <v>27</v>
      </c>
      <c r="K10" s="0" t="n">
        <f aca="false">COUNTIF('Netflix Data'!C2:C41,J10)</f>
        <v>1</v>
      </c>
    </row>
    <row r="11" customFormat="false" ht="15" hidden="false" customHeight="false" outlineLevel="0" collapsed="false">
      <c r="G11" s="0" t="n">
        <v>2024</v>
      </c>
      <c r="H11" s="0" t="n">
        <f aca="false">COUNTIF('Netflix Data'!E2:E41,G11)</f>
        <v>0</v>
      </c>
      <c r="J11" s="0" t="s">
        <v>16</v>
      </c>
      <c r="K11" s="0" t="n">
        <f aca="false">COUNTIF('Netflix Data'!C2:C41,J11)</f>
        <v>4</v>
      </c>
    </row>
    <row r="12" customFormat="false" ht="15" hidden="false" customHeight="false" outlineLevel="0" collapsed="false">
      <c r="J12" s="0" t="s">
        <v>31</v>
      </c>
      <c r="K12" s="0" t="n">
        <f aca="false">COUNTIF('Netflix Data'!C2:C41,J12)</f>
        <v>3</v>
      </c>
    </row>
    <row r="13" customFormat="false" ht="15" hidden="false" customHeight="false" outlineLevel="0" collapsed="false">
      <c r="J13" s="0" t="s">
        <v>71</v>
      </c>
      <c r="K13" s="0" t="n">
        <f aca="false">COUNTIF('Netflix Data'!C2:C41,J13)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2026-09-21T17:59:47Z</dcterms:created>
  <dc:creator>openpyxl</dc:creator>
  <dc:description/>
  <dc:language>en-US</dc:language>
  <cp:lastModifiedBy/>
  <dcterms:modified xsi:type="dcterms:W3CDTF">2026-09-21T17:59:47Z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
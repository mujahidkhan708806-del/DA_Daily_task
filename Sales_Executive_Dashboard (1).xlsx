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shboard" sheetId="1" state="visible" r:id="rId3"/>
    <sheet name="Sales Data" sheetId="2" state="visible" r:id="rId4"/>
    <sheet name="Pivot Table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<sst xmlns="http://schemas.openxmlformats.org/spreadsheetml/2006/main" count="1519" uniqueCount="300">
  <si>
    <t xml:space="preserve">EXECUTIVE SALES &amp; ANALYTICS DASHBOARD</t>
  </si>
  <si>
    <t xml:space="preserve">Source: Sales Data  |  Period: Jan 2026 - Aug 2026  |  All figures in ₹</t>
  </si>
  <si>
    <t xml:space="preserve">Order ID</t>
  </si>
  <si>
    <t xml:space="preserve">Date</t>
  </si>
  <si>
    <t xml:space="preserve">Customer</t>
  </si>
  <si>
    <t xml:space="preserve">City</t>
  </si>
  <si>
    <t xml:space="preserve">State</t>
  </si>
  <si>
    <t xml:space="preserve">Product</t>
  </si>
  <si>
    <t xml:space="preserve">Category</t>
  </si>
  <si>
    <t xml:space="preserve">Quantity</t>
  </si>
  <si>
    <t xml:space="preserve">Unit Price</t>
  </si>
  <si>
    <t xml:space="preserve">Discount</t>
  </si>
  <si>
    <t xml:space="preserve">Sales</t>
  </si>
  <si>
    <t xml:space="preserve">Profit</t>
  </si>
  <si>
    <t xml:space="preserve">Payment Mode</t>
  </si>
  <si>
    <t xml:space="preserve">ORD0095</t>
  </si>
  <si>
    <t xml:space="preserve">Pooja</t>
  </si>
  <si>
    <t xml:space="preserve">Agra</t>
  </si>
  <si>
    <t xml:space="preserve">Uttar Pradesh</t>
  </si>
  <si>
    <t xml:space="preserve">Notebook</t>
  </si>
  <si>
    <t xml:space="preserve">Stationery</t>
  </si>
  <si>
    <t xml:space="preserve">EMI</t>
  </si>
  <si>
    <t xml:space="preserve">ORD0119</t>
  </si>
  <si>
    <t xml:space="preserve">Vikas</t>
  </si>
  <si>
    <t xml:space="preserve">Hyderabad</t>
  </si>
  <si>
    <t xml:space="preserve">Telangana</t>
  </si>
  <si>
    <t xml:space="preserve">Smartphone</t>
  </si>
  <si>
    <t xml:space="preserve">Electronics</t>
  </si>
  <si>
    <t xml:space="preserve">Net Banking</t>
  </si>
  <si>
    <t xml:space="preserve">ORD0069</t>
  </si>
  <si>
    <t xml:space="preserve">Kolkata</t>
  </si>
  <si>
    <t xml:space="preserve">West Bengal</t>
  </si>
  <si>
    <t xml:space="preserve">Desk</t>
  </si>
  <si>
    <t xml:space="preserve">Furniture</t>
  </si>
  <si>
    <t xml:space="preserve">UPI</t>
  </si>
  <si>
    <t xml:space="preserve">ORD0066</t>
  </si>
  <si>
    <t xml:space="preserve">Arjun</t>
  </si>
  <si>
    <t xml:space="preserve">Pune</t>
  </si>
  <si>
    <t xml:space="preserve">Maharashtra</t>
  </si>
  <si>
    <t xml:space="preserve">Cash</t>
  </si>
  <si>
    <t xml:space="preserve">ORD0117</t>
  </si>
  <si>
    <t xml:space="preserve">Bengaluru</t>
  </si>
  <si>
    <t xml:space="preserve">Karnataka</t>
  </si>
  <si>
    <t xml:space="preserve">Headphones</t>
  </si>
  <si>
    <t xml:space="preserve">ORD0138</t>
  </si>
  <si>
    <t xml:space="preserve">Jaipur</t>
  </si>
  <si>
    <t xml:space="preserve">Rajasthan</t>
  </si>
  <si>
    <t xml:space="preserve">USB Drive</t>
  </si>
  <si>
    <t xml:space="preserve">Accessories</t>
  </si>
  <si>
    <t xml:space="preserve">ORD0169</t>
  </si>
  <si>
    <t xml:space="preserve">Amit</t>
  </si>
  <si>
    <t xml:space="preserve">Chennai</t>
  </si>
  <si>
    <t xml:space="preserve">Tamil Nadu</t>
  </si>
  <si>
    <t xml:space="preserve">Keyboard</t>
  </si>
  <si>
    <t xml:space="preserve">ORD0146</t>
  </si>
  <si>
    <t xml:space="preserve">Sneha</t>
  </si>
  <si>
    <t xml:space="preserve">Surat</t>
  </si>
  <si>
    <t xml:space="preserve">Gujarat</t>
  </si>
  <si>
    <t xml:space="preserve">Bookshelf</t>
  </si>
  <si>
    <t xml:space="preserve">ORD0074</t>
  </si>
  <si>
    <t xml:space="preserve">Riya</t>
  </si>
  <si>
    <t xml:space="preserve">Ahmedabad</t>
  </si>
  <si>
    <t xml:space="preserve">Laptop</t>
  </si>
  <si>
    <t xml:space="preserve">ORD0171</t>
  </si>
  <si>
    <t xml:space="preserve">Priya</t>
  </si>
  <si>
    <t xml:space="preserve">Monitor</t>
  </si>
  <si>
    <t xml:space="preserve">ORD0010</t>
  </si>
  <si>
    <t xml:space="preserve">Anjali</t>
  </si>
  <si>
    <t xml:space="preserve">Card</t>
  </si>
  <si>
    <t xml:space="preserve">ORD0045</t>
  </si>
  <si>
    <t xml:space="preserve">Varun</t>
  </si>
  <si>
    <t xml:space="preserve">Delhi</t>
  </si>
  <si>
    <t xml:space="preserve">ORD0027</t>
  </si>
  <si>
    <t xml:space="preserve">ORD0141</t>
  </si>
  <si>
    <t xml:space="preserve">ORD0090</t>
  </si>
  <si>
    <t xml:space="preserve">ORD0137</t>
  </si>
  <si>
    <t xml:space="preserve">Rahul</t>
  </si>
  <si>
    <t xml:space="preserve">ORD0167</t>
  </si>
  <si>
    <t xml:space="preserve">Karan</t>
  </si>
  <si>
    <t xml:space="preserve">Office Chair</t>
  </si>
  <si>
    <t xml:space="preserve">ORD0048</t>
  </si>
  <si>
    <t xml:space="preserve">Mathura</t>
  </si>
  <si>
    <t xml:space="preserve">Backpack</t>
  </si>
  <si>
    <t xml:space="preserve">ORD0150</t>
  </si>
  <si>
    <t xml:space="preserve">ORD0058</t>
  </si>
  <si>
    <t xml:space="preserve">Pen Set</t>
  </si>
  <si>
    <t xml:space="preserve">ORD0193</t>
  </si>
  <si>
    <t xml:space="preserve">Meena</t>
  </si>
  <si>
    <t xml:space="preserve">ORD0197</t>
  </si>
  <si>
    <t xml:space="preserve">Simran</t>
  </si>
  <si>
    <t xml:space="preserve">Printer</t>
  </si>
  <si>
    <t xml:space="preserve">ORD0108</t>
  </si>
  <si>
    <t xml:space="preserve">Table Lamp</t>
  </si>
  <si>
    <t xml:space="preserve">Home</t>
  </si>
  <si>
    <t xml:space="preserve">ORD0192</t>
  </si>
  <si>
    <t xml:space="preserve">ORD0140</t>
  </si>
  <si>
    <t xml:space="preserve">Mouse</t>
  </si>
  <si>
    <t xml:space="preserve">ORD0131</t>
  </si>
  <si>
    <t xml:space="preserve">Indore</t>
  </si>
  <si>
    <t xml:space="preserve">Madhya Pradesh</t>
  </si>
  <si>
    <t xml:space="preserve">ORD0154</t>
  </si>
  <si>
    <t xml:space="preserve">Shreya</t>
  </si>
  <si>
    <t xml:space="preserve">ORD0142</t>
  </si>
  <si>
    <t xml:space="preserve">ORD0128</t>
  </si>
  <si>
    <t xml:space="preserve">Lucknow</t>
  </si>
  <si>
    <t xml:space="preserve">ORD0077</t>
  </si>
  <si>
    <t xml:space="preserve">ORD0200</t>
  </si>
  <si>
    <t xml:space="preserve">ORD0185</t>
  </si>
  <si>
    <t xml:space="preserve">ORD0002</t>
  </si>
  <si>
    <t xml:space="preserve">Neha</t>
  </si>
  <si>
    <t xml:space="preserve">ORD0017</t>
  </si>
  <si>
    <t xml:space="preserve">Rohit</t>
  </si>
  <si>
    <t xml:space="preserve">ORD0172</t>
  </si>
  <si>
    <t xml:space="preserve">Saurabh</t>
  </si>
  <si>
    <t xml:space="preserve">ORD0056</t>
  </si>
  <si>
    <t xml:space="preserve">ORD0067</t>
  </si>
  <si>
    <t xml:space="preserve">ORD0176</t>
  </si>
  <si>
    <t xml:space="preserve">Manish</t>
  </si>
  <si>
    <t xml:space="preserve">Mumbai</t>
  </si>
  <si>
    <t xml:space="preserve">ORD0107</t>
  </si>
  <si>
    <t xml:space="preserve">ORD0173</t>
  </si>
  <si>
    <t xml:space="preserve">ORD0147</t>
  </si>
  <si>
    <t xml:space="preserve">ORD0158</t>
  </si>
  <si>
    <t xml:space="preserve">Bhopal</t>
  </si>
  <si>
    <t xml:space="preserve">ORD0038</t>
  </si>
  <si>
    <t xml:space="preserve">ORD0068</t>
  </si>
  <si>
    <t xml:space="preserve">ORD0153</t>
  </si>
  <si>
    <t xml:space="preserve">ORD0049</t>
  </si>
  <si>
    <t xml:space="preserve">ORD0079</t>
  </si>
  <si>
    <t xml:space="preserve">ORD0032</t>
  </si>
  <si>
    <t xml:space="preserve">ORD0085</t>
  </si>
  <si>
    <t xml:space="preserve">ORD0191</t>
  </si>
  <si>
    <t xml:space="preserve">ORD0097</t>
  </si>
  <si>
    <t xml:space="preserve">ORD0082</t>
  </si>
  <si>
    <t xml:space="preserve">ORD0031</t>
  </si>
  <si>
    <t xml:space="preserve">ORD0133</t>
  </si>
  <si>
    <t xml:space="preserve">ORD0124</t>
  </si>
  <si>
    <t xml:space="preserve">ORD0186</t>
  </si>
  <si>
    <t xml:space="preserve">Kavita</t>
  </si>
  <si>
    <t xml:space="preserve">ORD0175</t>
  </si>
  <si>
    <t xml:space="preserve">ORD0101</t>
  </si>
  <si>
    <t xml:space="preserve">ORD0136</t>
  </si>
  <si>
    <t xml:space="preserve">ORD0052</t>
  </si>
  <si>
    <t xml:space="preserve">ORD0072</t>
  </si>
  <si>
    <t xml:space="preserve">ORD0198</t>
  </si>
  <si>
    <t xml:space="preserve">ORD0116</t>
  </si>
  <si>
    <t xml:space="preserve">ORD0053</t>
  </si>
  <si>
    <t xml:space="preserve">ORD0160</t>
  </si>
  <si>
    <t xml:space="preserve">ORD0081</t>
  </si>
  <si>
    <t xml:space="preserve">ORD0009</t>
  </si>
  <si>
    <t xml:space="preserve">ORD0023</t>
  </si>
  <si>
    <t xml:space="preserve">ORD0127</t>
  </si>
  <si>
    <t xml:space="preserve">ORD0179</t>
  </si>
  <si>
    <t xml:space="preserve">ORD0044</t>
  </si>
  <si>
    <t xml:space="preserve">ORD0122</t>
  </si>
  <si>
    <t xml:space="preserve">ORD0026</t>
  </si>
  <si>
    <t xml:space="preserve">ORD0071</t>
  </si>
  <si>
    <t xml:space="preserve">ORD0059</t>
  </si>
  <si>
    <t xml:space="preserve">ORD0006</t>
  </si>
  <si>
    <t xml:space="preserve">ORD0148</t>
  </si>
  <si>
    <t xml:space="preserve">ORD0036</t>
  </si>
  <si>
    <t xml:space="preserve">ORD0188</t>
  </si>
  <si>
    <t xml:space="preserve">Nikhil</t>
  </si>
  <si>
    <t xml:space="preserve">ORD0189</t>
  </si>
  <si>
    <t xml:space="preserve">ORD0012</t>
  </si>
  <si>
    <t xml:space="preserve">ORD0007</t>
  </si>
  <si>
    <t xml:space="preserve">ORD0014</t>
  </si>
  <si>
    <t xml:space="preserve">ORD0042</t>
  </si>
  <si>
    <t xml:space="preserve">ORD0134</t>
  </si>
  <si>
    <t xml:space="preserve">ORD0164</t>
  </si>
  <si>
    <t xml:space="preserve">ORD0030</t>
  </si>
  <si>
    <t xml:space="preserve">ORD0047</t>
  </si>
  <si>
    <t xml:space="preserve">ORD0037</t>
  </si>
  <si>
    <t xml:space="preserve">ORD0149</t>
  </si>
  <si>
    <t xml:space="preserve">ORD0003</t>
  </si>
  <si>
    <t xml:space="preserve">ORD0018</t>
  </si>
  <si>
    <t xml:space="preserve">ORD0075</t>
  </si>
  <si>
    <t xml:space="preserve">ORD0113</t>
  </si>
  <si>
    <t xml:space="preserve">ORD0170</t>
  </si>
  <si>
    <t xml:space="preserve">ORD0073</t>
  </si>
  <si>
    <t xml:space="preserve">ORD0115</t>
  </si>
  <si>
    <t xml:space="preserve">ORD0080</t>
  </si>
  <si>
    <t xml:space="preserve">ORD0161</t>
  </si>
  <si>
    <t xml:space="preserve">ORD0005</t>
  </si>
  <si>
    <t xml:space="preserve">ORD0086</t>
  </si>
  <si>
    <t xml:space="preserve">ORD0051</t>
  </si>
  <si>
    <t xml:space="preserve">ORD0156</t>
  </si>
  <si>
    <t xml:space="preserve">ORD0039</t>
  </si>
  <si>
    <t xml:space="preserve">ORD0187</t>
  </si>
  <si>
    <t xml:space="preserve">ORD0103</t>
  </si>
  <si>
    <t xml:space="preserve">ORD0083</t>
  </si>
  <si>
    <t xml:space="preserve">ORD0130</t>
  </si>
  <si>
    <t xml:space="preserve">ORD0041</t>
  </si>
  <si>
    <t xml:space="preserve">ORD0084</t>
  </si>
  <si>
    <t xml:space="preserve">ORD0112</t>
  </si>
  <si>
    <t xml:space="preserve">ORD0076</t>
  </si>
  <si>
    <t xml:space="preserve">ORD0046</t>
  </si>
  <si>
    <t xml:space="preserve">ORD0019</t>
  </si>
  <si>
    <t xml:space="preserve">ORD0152</t>
  </si>
  <si>
    <t xml:space="preserve">ORD0029</t>
  </si>
  <si>
    <t xml:space="preserve">ORD0143</t>
  </si>
  <si>
    <t xml:space="preserve">ORD0093</t>
  </si>
  <si>
    <t xml:space="preserve">ORD0155</t>
  </si>
  <si>
    <t xml:space="preserve">ORD0062</t>
  </si>
  <si>
    <t xml:space="preserve">ORD0060</t>
  </si>
  <si>
    <t xml:space="preserve">ORD0120</t>
  </si>
  <si>
    <t xml:space="preserve">ORD0180</t>
  </si>
  <si>
    <t xml:space="preserve">ORD0135</t>
  </si>
  <si>
    <t xml:space="preserve">ORD0078</t>
  </si>
  <si>
    <t xml:space="preserve">ORD0165</t>
  </si>
  <si>
    <t xml:space="preserve">ORD0021</t>
  </si>
  <si>
    <t xml:space="preserve">ORD0004</t>
  </si>
  <si>
    <t xml:space="preserve">ORD0025</t>
  </si>
  <si>
    <t xml:space="preserve">ORD0087</t>
  </si>
  <si>
    <t xml:space="preserve">ORD0182</t>
  </si>
  <si>
    <t xml:space="preserve">ORD0099</t>
  </si>
  <si>
    <t xml:space="preserve">ORD0020</t>
  </si>
  <si>
    <t xml:space="preserve">ORD0132</t>
  </si>
  <si>
    <t xml:space="preserve">ORD0013</t>
  </si>
  <si>
    <t xml:space="preserve">ORD0001</t>
  </si>
  <si>
    <t xml:space="preserve">ORD0129</t>
  </si>
  <si>
    <t xml:space="preserve">ORD0100</t>
  </si>
  <si>
    <t xml:space="preserve">ORD0199</t>
  </si>
  <si>
    <t xml:space="preserve">ORD0040</t>
  </si>
  <si>
    <t xml:space="preserve">ORD0195</t>
  </si>
  <si>
    <t xml:space="preserve">ORD0064</t>
  </si>
  <si>
    <t xml:space="preserve">ORD0194</t>
  </si>
  <si>
    <t xml:space="preserve">ORD0034</t>
  </si>
  <si>
    <t xml:space="preserve">ORD0098</t>
  </si>
  <si>
    <t xml:space="preserve">ORD0106</t>
  </si>
  <si>
    <t xml:space="preserve">ORD0050</t>
  </si>
  <si>
    <t xml:space="preserve">ORD0190</t>
  </si>
  <si>
    <t xml:space="preserve">ORD0145</t>
  </si>
  <si>
    <t xml:space="preserve">ORD0022</t>
  </si>
  <si>
    <t xml:space="preserve">ORD0057</t>
  </si>
  <si>
    <t xml:space="preserve">ORD0139</t>
  </si>
  <si>
    <t xml:space="preserve">ORD0196</t>
  </si>
  <si>
    <t xml:space="preserve">ORD0177</t>
  </si>
  <si>
    <t xml:space="preserve">ORD0092</t>
  </si>
  <si>
    <t xml:space="preserve">ORD0043</t>
  </si>
  <si>
    <t xml:space="preserve">ORD0110</t>
  </si>
  <si>
    <t xml:space="preserve">ORD0126</t>
  </si>
  <si>
    <t xml:space="preserve">ORD0008</t>
  </si>
  <si>
    <t xml:space="preserve">ORD0114</t>
  </si>
  <si>
    <t xml:space="preserve">ORD0144</t>
  </si>
  <si>
    <t xml:space="preserve">ORD0125</t>
  </si>
  <si>
    <t xml:space="preserve">ORD0123</t>
  </si>
  <si>
    <t xml:space="preserve">ORD0088</t>
  </si>
  <si>
    <t xml:space="preserve">ORD0096</t>
  </si>
  <si>
    <t xml:space="preserve">ORD0065</t>
  </si>
  <si>
    <t xml:space="preserve">ORD0028</t>
  </si>
  <si>
    <t xml:space="preserve">ORD0102</t>
  </si>
  <si>
    <t xml:space="preserve">ORD0024</t>
  </si>
  <si>
    <t xml:space="preserve">ORD0089</t>
  </si>
  <si>
    <t xml:space="preserve">ORD0159</t>
  </si>
  <si>
    <t xml:space="preserve">ORD0070</t>
  </si>
  <si>
    <t xml:space="preserve">ORD0181</t>
  </si>
  <si>
    <t xml:space="preserve">ORD0104</t>
  </si>
  <si>
    <t xml:space="preserve">ORD0035</t>
  </si>
  <si>
    <t xml:space="preserve">ORD0111</t>
  </si>
  <si>
    <t xml:space="preserve">ORD0183</t>
  </si>
  <si>
    <t xml:space="preserve">ORD0121</t>
  </si>
  <si>
    <t xml:space="preserve">ORD0118</t>
  </si>
  <si>
    <t xml:space="preserve">ORD0054</t>
  </si>
  <si>
    <t xml:space="preserve">ORD0015</t>
  </si>
  <si>
    <t xml:space="preserve">ORD0151</t>
  </si>
  <si>
    <t xml:space="preserve">ORD0157</t>
  </si>
  <si>
    <t xml:space="preserve">ORD0105</t>
  </si>
  <si>
    <t xml:space="preserve">ORD0178</t>
  </si>
  <si>
    <t xml:space="preserve">ORD0168</t>
  </si>
  <si>
    <t xml:space="preserve">ORD0163</t>
  </si>
  <si>
    <t xml:space="preserve">ORD0011</t>
  </si>
  <si>
    <t xml:space="preserve">ORD0091</t>
  </si>
  <si>
    <t xml:space="preserve">ORD0063</t>
  </si>
  <si>
    <t xml:space="preserve">ORD0094</t>
  </si>
  <si>
    <t xml:space="preserve">ORD0033</t>
  </si>
  <si>
    <t xml:space="preserve">ORD0184</t>
  </si>
  <si>
    <t xml:space="preserve">ORD0174</t>
  </si>
  <si>
    <t xml:space="preserve">ORD0016</t>
  </si>
  <si>
    <t xml:space="preserve">ORD0166</t>
  </si>
  <si>
    <t xml:space="preserve">ORD0162</t>
  </si>
  <si>
    <t xml:space="preserve">ORD0055</t>
  </si>
  <si>
    <t xml:space="preserve">ORD0109</t>
  </si>
  <si>
    <t xml:space="preserve">ORD0061</t>
  </si>
  <si>
    <t xml:space="preserve">Sum of Sales</t>
  </si>
  <si>
    <t xml:space="preserve">Top Cities by Sales</t>
  </si>
  <si>
    <t xml:space="preserve">Label</t>
  </si>
  <si>
    <t xml:space="preserve">Total Result</t>
  </si>
  <si>
    <t xml:space="preserve">Top Customers by Sales</t>
  </si>
  <si>
    <t xml:space="preserve">Sales by Category</t>
  </si>
  <si>
    <t xml:space="preserve">Top Products by Sales</t>
  </si>
  <si>
    <t xml:space="preserve">Monthly Sales Trend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</si>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</sst>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#,##0.00"/>
    <numFmt numFmtId="167" formatCode="0%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20"/>
      <color rgb="FFFF0000"/>
      <name val="Calibri"/>
      <family val="2"/>
      <charset val="1"/>
    </font>
    <font>
      <b val="true"/>
      <sz val="20"/>
      <color rgb="FFF2C14E"/>
      <name val="Arial"/>
      <family val="0"/>
      <charset val="1"/>
    </font>
    <font>
      <i val="true"/>
      <sz val="10"/>
      <color rgb="FFA0A0A0"/>
      <name val="Arial"/>
      <family val="0"/>
      <charset val="1"/>
    </font>
    <font>
      <b val="true"/>
      <sz val="12"/>
      <color rgb="FFF2C14E"/>
      <name val="Arial"/>
      <family val="2"/>
    </font>
    <font>
      <sz val="9"/>
      <color rgb="FFA0A0A0"/>
      <name val="Arial"/>
      <family val="2"/>
    </font>
    <font>
      <b val="true"/>
      <sz val="11"/>
      <name val="Calibri"/>
      <family val="0"/>
      <charset val="1"/>
    </font>
    <font>
      <b val="true"/>
      <sz val="11"/>
      <color rgb="FFF2C14E"/>
      <name val="Arial"/>
      <family val="0"/>
      <charset val="1"/>
    </font>
    <font>
      <b val="true"/>
      <sz val="10"/>
      <color rgb="FFF2C14E"/>
      <name val="Arial"/>
      <family val="0"/>
      <charset val="1"/>
    </font>
    <font>
      <sz val="10"/>
      <color rgb="FFE8E8E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0D0D"/>
        <bgColor rgb="FF151515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08000"/>
      <rgbColor rgb="FF800080"/>
      <rgbColor rgb="FF34B37A"/>
      <rgbColor rgb="FFC0C0C0"/>
      <rgbColor rgb="FF4F81BD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FB3C7"/>
      <rgbColor rgb="FFCCFFFF"/>
      <rgbColor rgb="FFCCFFCC"/>
      <rgbColor rgb="FFFFFF99"/>
      <rgbColor rgb="FF99CCFF"/>
      <rgbColor rgb="FFFF99CC"/>
      <rgbColor rgb="FFCC99FF"/>
      <rgbColor rgb="FFF2C14E"/>
      <rgbColor rgb="FF3366FF"/>
      <rgbColor rgb="FF27C1C1"/>
      <rgbColor rgb="FF99CC00"/>
      <rgbColor rgb="FFFFCC00"/>
      <rgbColor rgb="FFFF9900"/>
      <rgbColor rgb="FFE8622C"/>
      <rgbColor rgb="FF8B5FBF"/>
      <rgbColor rgb="FFA0A0A0"/>
      <rgbColor rgb="FF003366"/>
      <rgbColor rgb="FF2E8B57"/>
      <rgbColor rgb="FF151515"/>
      <rgbColor rgb="FF2A2A2A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2c14e"/>
                </a:solidFill>
                <a:latin typeface="Arial"/>
              </a:defRPr>
            </a:pPr>
            <a:r>
              <a:rPr b="1" sz="1200" spc="-1" strike="noStrike">
                <a:solidFill>
                  <a:srgbClr val="f2c14e"/>
                </a:solidFill>
                <a:latin typeface="Arial"/>
              </a:rPr>
              <a:t>Sales by City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Table'!K2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7c1c1"/>
            </a:solidFill>
            <a:ln w="21960">
              <a:solidFill>
                <a:srgbClr val="27c1c1"/>
              </a:solidFill>
              <a:round/>
            </a:ln>
          </c:spPr>
          <c:marker>
            <c:symbol val="circle"/>
            <c:size val="6"/>
            <c:spPr>
              <a:solidFill>
                <a:srgbClr val="27c1c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Table'!$J$3:$J$10</c:f>
              <c:strCache>
                <c:ptCount val="8"/>
                <c:pt idx="0">
                  <c:v>Kolkata</c:v>
                </c:pt>
                <c:pt idx="1">
                  <c:v>Ahmedabad</c:v>
                </c:pt>
                <c:pt idx="2">
                  <c:v>Bengaluru</c:v>
                </c:pt>
                <c:pt idx="3">
                  <c:v>Delhi</c:v>
                </c:pt>
                <c:pt idx="4">
                  <c:v>Mumbai</c:v>
                </c:pt>
                <c:pt idx="5">
                  <c:v>Jaipur</c:v>
                </c:pt>
                <c:pt idx="6">
                  <c:v>Lucknow</c:v>
                </c:pt>
                <c:pt idx="7">
                  <c:v>Pune</c:v>
                </c:pt>
              </c:strCache>
            </c:strRef>
          </c:cat>
          <c:val>
            <c:numRef>
              <c:f>'Pivot Table'!$K$3:$K$10</c:f>
              <c:numCache>
                <c:formatCode>#,##0</c:formatCode>
                <c:ptCount val="8"/>
                <c:pt idx="0">
                  <c:v>762847.5</c:v>
                </c:pt>
                <c:pt idx="1">
                  <c:v>717970</c:v>
                </c:pt>
                <c:pt idx="2">
                  <c:v>610375</c:v>
                </c:pt>
                <c:pt idx="3">
                  <c:v>575840</c:v>
                </c:pt>
                <c:pt idx="4">
                  <c:v>446037.5</c:v>
                </c:pt>
                <c:pt idx="5">
                  <c:v>421632.5</c:v>
                </c:pt>
                <c:pt idx="6">
                  <c:v>395363</c:v>
                </c:pt>
                <c:pt idx="7">
                  <c:v>287452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159346"/>
        <c:axId val="9226951"/>
      </c:lineChart>
      <c:catAx>
        <c:axId val="30159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9226951"/>
        <c:crosses val="autoZero"/>
        <c:auto val="1"/>
        <c:lblAlgn val="ctr"/>
        <c:lblOffset val="100"/>
        <c:noMultiLvlLbl val="0"/>
      </c:catAx>
      <c:valAx>
        <c:axId val="9226951"/>
        <c:scaling>
          <c:orientation val="minMax"/>
        </c:scaling>
        <c:delete val="0"/>
        <c:axPos val="l"/>
        <c:majorGridlines>
          <c:spPr>
            <a:ln w="9360">
              <a:solidFill>
                <a:srgbClr val="2a2a2a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30159346"/>
        <c:crosses val="autoZero"/>
        <c:crossBetween val="between"/>
      </c:valAx>
      <c:spPr>
        <a:solidFill>
          <a:srgbClr val="151515"/>
        </a:solidFill>
        <a:ln w="0">
          <a:noFill/>
        </a:ln>
      </c:spPr>
    </c:plotArea>
    <c:plotVisOnly val="1"/>
    <c:dispBlanksAs val="gap"/>
  </c:chart>
  <c:spPr>
    <a:solidFill>
      <a:srgbClr val="0d0d0d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2c14e"/>
                </a:solidFill>
                <a:latin typeface="Arial"/>
              </a:defRPr>
            </a:pPr>
            <a:r>
              <a:rPr b="1" sz="1200" spc="-1" strike="noStrike">
                <a:solidFill>
                  <a:srgbClr val="f2c14e"/>
                </a:solidFill>
                <a:latin typeface="Arial"/>
              </a:rPr>
              <a:t>Sales by Customer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Table'!K13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b3c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Table'!$J$14:$J$21</c:f>
              <c:strCache>
                <c:ptCount val="8"/>
                <c:pt idx="0">
                  <c:v>Riya</c:v>
                </c:pt>
                <c:pt idx="1">
                  <c:v>Saurabh</c:v>
                </c:pt>
                <c:pt idx="2">
                  <c:v>Arjun</c:v>
                </c:pt>
                <c:pt idx="3">
                  <c:v>Priya</c:v>
                </c:pt>
                <c:pt idx="4">
                  <c:v>Meena</c:v>
                </c:pt>
                <c:pt idx="5">
                  <c:v>Kavita</c:v>
                </c:pt>
                <c:pt idx="6">
                  <c:v>Vikas</c:v>
                </c:pt>
                <c:pt idx="7">
                  <c:v>Nikhil</c:v>
                </c:pt>
              </c:strCache>
            </c:strRef>
          </c:cat>
          <c:val>
            <c:numRef>
              <c:f>'Pivot Table'!$K$14:$K$21</c:f>
              <c:numCache>
                <c:formatCode>#,##0</c:formatCode>
                <c:ptCount val="8"/>
                <c:pt idx="0">
                  <c:v>602280</c:v>
                </c:pt>
                <c:pt idx="1">
                  <c:v>547790</c:v>
                </c:pt>
                <c:pt idx="2">
                  <c:v>483192.5</c:v>
                </c:pt>
                <c:pt idx="3">
                  <c:v>461007.5</c:v>
                </c:pt>
                <c:pt idx="4">
                  <c:v>423747.5</c:v>
                </c:pt>
                <c:pt idx="5">
                  <c:v>383060</c:v>
                </c:pt>
                <c:pt idx="6">
                  <c:v>378530</c:v>
                </c:pt>
                <c:pt idx="7">
                  <c:v>328360</c:v>
                </c:pt>
              </c:numCache>
            </c:numRef>
          </c:val>
        </c:ser>
        <c:gapWidth val="60"/>
        <c:overlap val="0"/>
        <c:axId val="76944547"/>
        <c:axId val="52015612"/>
      </c:barChart>
      <c:catAx>
        <c:axId val="76944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52015612"/>
        <c:crosses val="autoZero"/>
        <c:auto val="1"/>
        <c:lblAlgn val="ctr"/>
        <c:lblOffset val="100"/>
        <c:noMultiLvlLbl val="0"/>
      </c:catAx>
      <c:valAx>
        <c:axId val="52015612"/>
        <c:scaling>
          <c:orientation val="minMax"/>
        </c:scaling>
        <c:delete val="0"/>
        <c:axPos val="l"/>
        <c:majorGridlines>
          <c:spPr>
            <a:ln w="9360">
              <a:solidFill>
                <a:srgbClr val="2a2a2a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76944547"/>
        <c:crosses val="autoZero"/>
        <c:crossBetween val="between"/>
      </c:valAx>
      <c:spPr>
        <a:solidFill>
          <a:srgbClr val="151515"/>
        </a:solidFill>
        <a:ln w="0">
          <a:noFill/>
        </a:ln>
      </c:spPr>
    </c:plotArea>
    <c:plotVisOnly val="1"/>
    <c:dispBlanksAs val="gap"/>
  </c:chart>
  <c:spPr>
    <a:solidFill>
      <a:srgbClr val="0d0d0d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2c14e"/>
                </a:solidFill>
                <a:latin typeface="Arial"/>
              </a:defRPr>
            </a:pPr>
            <a:r>
              <a:rPr b="1" sz="1200" spc="-1" strike="noStrike">
                <a:solidFill>
                  <a:srgbClr val="f2c14e"/>
                </a:solidFill>
                <a:latin typeface="Arial"/>
              </a:rPr>
              <a:t>Sales by Category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'Pivot Table'!K24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e8622c"/>
              </a:solidFill>
              <a:ln w="9360">
                <a:solidFill>
                  <a:srgbClr val="0d0d0d"/>
                </a:solidFill>
                <a:round/>
              </a:ln>
            </c:spPr>
          </c:dPt>
          <c:dPt>
            <c:idx val="1"/>
            <c:spPr>
              <a:solidFill>
                <a:srgbClr val="34b37a"/>
              </a:solidFill>
              <a:ln w="9360">
                <a:solidFill>
                  <a:srgbClr val="0d0d0d"/>
                </a:solidFill>
                <a:round/>
              </a:ln>
            </c:spPr>
          </c:dPt>
          <c:dPt>
            <c:idx val="2"/>
            <c:spPr>
              <a:solidFill>
                <a:srgbClr val="2fb3c7"/>
              </a:solidFill>
              <a:ln w="9360">
                <a:solidFill>
                  <a:srgbClr val="0d0d0d"/>
                </a:solidFill>
                <a:round/>
              </a:ln>
            </c:spPr>
          </c:dPt>
          <c:dPt>
            <c:idx val="3"/>
            <c:spPr>
              <a:solidFill>
                <a:srgbClr val="8b5fbf"/>
              </a:solidFill>
              <a:ln w="9360">
                <a:solidFill>
                  <a:srgbClr val="0d0d0d"/>
                </a:solidFill>
                <a:round/>
              </a:ln>
            </c:spPr>
          </c:dPt>
          <c:dPt>
            <c:idx val="4"/>
            <c:spPr>
              <a:solidFill>
                <a:srgbClr val="f2c14e"/>
              </a:solidFill>
              <a:ln w="9360">
                <a:solidFill>
                  <a:srgbClr val="0d0d0d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Table'!$J$25:$J$29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Home</c:v>
                </c:pt>
                <c:pt idx="4">
                  <c:v>Stationery</c:v>
                </c:pt>
              </c:strCache>
            </c:strRef>
          </c:cat>
          <c:val>
            <c:numRef>
              <c:f>'Pivot Table'!$K$25:$K$29</c:f>
              <c:numCache>
                <c:formatCode>#,##0</c:formatCode>
                <c:ptCount val="5"/>
                <c:pt idx="0">
                  <c:v>4130025</c:v>
                </c:pt>
                <c:pt idx="1">
                  <c:v>1056725</c:v>
                </c:pt>
                <c:pt idx="2">
                  <c:v>152660</c:v>
                </c:pt>
                <c:pt idx="3">
                  <c:v>44000</c:v>
                </c:pt>
                <c:pt idx="4">
                  <c:v>19559</c:v>
                </c:pt>
              </c:numCache>
            </c:numRef>
          </c:val>
        </c:ser>
        <c:firstSliceAng val="0"/>
        <c:holeSize val="50"/>
      </c:doughnutChart>
      <c:spPr>
        <a:solidFill>
          <a:srgbClr val="151515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a0a0a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0d0d0d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2c14e"/>
                </a:solidFill>
                <a:latin typeface="Arial"/>
              </a:defRPr>
            </a:pPr>
            <a:r>
              <a:rPr b="1" sz="1200" spc="-1" strike="noStrike">
                <a:solidFill>
                  <a:srgbClr val="f2c14e"/>
                </a:solidFill>
                <a:latin typeface="Arial"/>
              </a:rPr>
              <a:t>Product Wise Sales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Table'!K32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8622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Table'!$J$33:$J$40</c:f>
              <c:strCache>
                <c:ptCount val="8"/>
                <c:pt idx="0">
                  <c:v>Laptop</c:v>
                </c:pt>
                <c:pt idx="1">
                  <c:v>Smartphone</c:v>
                </c:pt>
                <c:pt idx="2">
                  <c:v>Monitor</c:v>
                </c:pt>
                <c:pt idx="3">
                  <c:v>Desk</c:v>
                </c:pt>
                <c:pt idx="4">
                  <c:v>Bookshelf</c:v>
                </c:pt>
                <c:pt idx="5">
                  <c:v>Office Chair</c:v>
                </c:pt>
                <c:pt idx="6">
                  <c:v>Printer</c:v>
                </c:pt>
                <c:pt idx="7">
                  <c:v>Keyboard</c:v>
                </c:pt>
              </c:strCache>
            </c:strRef>
          </c:cat>
          <c:val>
            <c:numRef>
              <c:f>'Pivot Table'!$K$33:$K$40</c:f>
              <c:numCache>
                <c:formatCode>#,##0</c:formatCode>
                <c:ptCount val="8"/>
                <c:pt idx="0">
                  <c:v>2134000</c:v>
                </c:pt>
                <c:pt idx="1">
                  <c:v>1040000</c:v>
                </c:pt>
                <c:pt idx="2">
                  <c:v>529200</c:v>
                </c:pt>
                <c:pt idx="3">
                  <c:v>431400</c:v>
                </c:pt>
                <c:pt idx="4">
                  <c:v>326550</c:v>
                </c:pt>
                <c:pt idx="5">
                  <c:v>298775</c:v>
                </c:pt>
                <c:pt idx="6">
                  <c:v>246000</c:v>
                </c:pt>
                <c:pt idx="7">
                  <c:v>101700</c:v>
                </c:pt>
              </c:numCache>
            </c:numRef>
          </c:val>
        </c:ser>
        <c:gapWidth val="50"/>
        <c:overlap val="0"/>
        <c:axId val="29962916"/>
        <c:axId val="3556870"/>
      </c:barChart>
      <c:catAx>
        <c:axId val="29962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3556870"/>
        <c:crosses val="autoZero"/>
        <c:auto val="1"/>
        <c:lblAlgn val="ctr"/>
        <c:lblOffset val="100"/>
        <c:noMultiLvlLbl val="0"/>
      </c:catAx>
      <c:valAx>
        <c:axId val="3556870"/>
        <c:scaling>
          <c:orientation val="minMax"/>
        </c:scaling>
        <c:delete val="0"/>
        <c:axPos val="l"/>
        <c:majorGridlines>
          <c:spPr>
            <a:ln w="9360">
              <a:solidFill>
                <a:srgbClr val="2a2a2a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29962916"/>
        <c:crosses val="autoZero"/>
        <c:crossBetween val="between"/>
      </c:valAx>
      <c:spPr>
        <a:solidFill>
          <a:srgbClr val="151515"/>
        </a:solidFill>
        <a:ln w="0">
          <a:noFill/>
        </a:ln>
      </c:spPr>
    </c:plotArea>
    <c:plotVisOnly val="1"/>
    <c:dispBlanksAs val="gap"/>
  </c:chart>
  <c:spPr>
    <a:solidFill>
      <a:srgbClr val="0d0d0d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2c14e"/>
                </a:solidFill>
                <a:latin typeface="Arial"/>
              </a:defRPr>
            </a:pPr>
            <a:r>
              <a:rPr b="1" sz="1200" spc="-1" strike="noStrike">
                <a:solidFill>
                  <a:srgbClr val="f2c14e"/>
                </a:solidFill>
                <a:latin typeface="Arial"/>
              </a:rPr>
              <a:t>Monthly Sales Volume Trend (2026)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'Pivot Table'!K43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8b57"/>
            </a:solidFill>
            <a:ln w="18000">
              <a:solidFill>
                <a:srgbClr val="34b37a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Table'!$J$44:$J$51</c:f>
              <c:strCache>
                <c:ptCount val="8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</c:strCache>
            </c:strRef>
          </c:cat>
          <c:val>
            <c:numRef>
              <c:f>'Pivot Table'!$K$44:$K$51</c:f>
              <c:numCache>
                <c:formatCode>#,##0</c:formatCode>
                <c:ptCount val="8"/>
                <c:pt idx="0">
                  <c:v>815995</c:v>
                </c:pt>
                <c:pt idx="1">
                  <c:v>480759</c:v>
                </c:pt>
                <c:pt idx="2">
                  <c:v>400120</c:v>
                </c:pt>
                <c:pt idx="3">
                  <c:v>786841</c:v>
                </c:pt>
                <c:pt idx="4">
                  <c:v>821880</c:v>
                </c:pt>
                <c:pt idx="5">
                  <c:v>810222</c:v>
                </c:pt>
                <c:pt idx="6">
                  <c:v>757182</c:v>
                </c:pt>
                <c:pt idx="7">
                  <c:v>529970</c:v>
                </c:pt>
              </c:numCache>
            </c:numRef>
          </c:val>
        </c:ser>
        <c:axId val="59422375"/>
        <c:axId val="68407614"/>
      </c:areaChart>
      <c:catAx>
        <c:axId val="59422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68407614"/>
        <c:crosses val="autoZero"/>
        <c:auto val="1"/>
        <c:lblAlgn val="ctr"/>
        <c:lblOffset val="100"/>
        <c:noMultiLvlLbl val="0"/>
      </c:catAx>
      <c:valAx>
        <c:axId val="68407614"/>
        <c:scaling>
          <c:orientation val="minMax"/>
        </c:scaling>
        <c:delete val="0"/>
        <c:axPos val="l"/>
        <c:majorGridlines>
          <c:spPr>
            <a:ln w="9360">
              <a:solidFill>
                <a:srgbClr val="2a2a2a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3a3a3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a0a0a0"/>
                </a:solidFill>
                <a:latin typeface="Arial"/>
              </a:defRPr>
            </a:pPr>
          </a:p>
        </c:txPr>
        <c:crossAx val="59422375"/>
        <c:crosses val="autoZero"/>
        <c:crossBetween val="midCat"/>
      </c:valAx>
      <c:spPr>
        <a:solidFill>
          <a:srgbClr val="151515"/>
        </a:solidFill>
        <a:ln w="0">
          <a:noFill/>
        </a:ln>
      </c:spPr>
    </c:plotArea>
    <c:plotVisOnly val="1"/>
    <c:dispBlanksAs val="gap"/>
  </c:chart>
  <c:spPr>
    <a:solidFill>
      <a:srgbClr val="0d0d0d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70560</xdr:rowOff>
    </xdr:from>
    <xdr:to>
      <xdr:col>8</xdr:col>
      <xdr:colOff>530280</xdr:colOff>
      <xdr:row>18</xdr:row>
      <xdr:rowOff>103320</xdr:rowOff>
    </xdr:to>
    <xdr:graphicFrame>
      <xdr:nvGraphicFramePr>
        <xdr:cNvPr id="0" name="Chart 1"/>
        <xdr:cNvGraphicFramePr/>
      </xdr:nvGraphicFramePr>
      <xdr:xfrm>
        <a:off x="669960" y="95256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</xdr:row>
      <xdr:rowOff>70560</xdr:rowOff>
    </xdr:from>
    <xdr:to>
      <xdr:col>16</xdr:col>
      <xdr:colOff>530280</xdr:colOff>
      <xdr:row>18</xdr:row>
      <xdr:rowOff>103320</xdr:rowOff>
    </xdr:to>
    <xdr:graphicFrame>
      <xdr:nvGraphicFramePr>
        <xdr:cNvPr id="1" name="Chart 2"/>
        <xdr:cNvGraphicFramePr/>
      </xdr:nvGraphicFramePr>
      <xdr:xfrm>
        <a:off x="6029280" y="95256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4</xdr:row>
      <xdr:rowOff>70560</xdr:rowOff>
    </xdr:from>
    <xdr:to>
      <xdr:col>24</xdr:col>
      <xdr:colOff>529920</xdr:colOff>
      <xdr:row>18</xdr:row>
      <xdr:rowOff>103320</xdr:rowOff>
    </xdr:to>
    <xdr:graphicFrame>
      <xdr:nvGraphicFramePr>
        <xdr:cNvPr id="2" name="Chart 3"/>
        <xdr:cNvGraphicFramePr/>
      </xdr:nvGraphicFramePr>
      <xdr:xfrm>
        <a:off x="11388600" y="95256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19</xdr:row>
      <xdr:rowOff>70200</xdr:rowOff>
    </xdr:from>
    <xdr:to>
      <xdr:col>9</xdr:col>
      <xdr:colOff>40320</xdr:colOff>
      <xdr:row>33</xdr:row>
      <xdr:rowOff>102960</xdr:rowOff>
    </xdr:to>
    <xdr:graphicFrame>
      <xdr:nvGraphicFramePr>
        <xdr:cNvPr id="3" name="Chart 4"/>
        <xdr:cNvGraphicFramePr/>
      </xdr:nvGraphicFramePr>
      <xdr:xfrm>
        <a:off x="669960" y="3809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19</xdr:row>
      <xdr:rowOff>70200</xdr:rowOff>
    </xdr:from>
    <xdr:to>
      <xdr:col>21</xdr:col>
      <xdr:colOff>420480</xdr:colOff>
      <xdr:row>33</xdr:row>
      <xdr:rowOff>102960</xdr:rowOff>
    </xdr:to>
    <xdr:graphicFrame>
      <xdr:nvGraphicFramePr>
        <xdr:cNvPr id="4" name="Chart 5"/>
        <xdr:cNvGraphicFramePr/>
      </xdr:nvGraphicFramePr>
      <xdr:xfrm>
        <a:off x="6029280" y="3809880"/>
        <a:ext cx="84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0" createdVersion="3">
  <cacheSource type="worksheet">
    <worksheetSource ref="A1:M201" sheet="Sales Data"/>
  </cacheSource>
  <cacheFields count="13">
    <cacheField name="Order ID" numFmtId="0">
      <sharedItems count="2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</sharedItems>
    </cacheField>
    <cacheField name="Date" numFmtId="0">
      <sharedItems containsSemiMixedTypes="0" containsNonDate="0" containsDate="1" containsString="0" minDate="2026-01-02T00:00:00" maxDate="2026-08-30T00:00:00" count="136">
        <d v="2026-01-02T00:00:00"/>
        <d v="2026-01-03T00:00:00"/>
        <d v="2026-01-07T00:00:00"/>
        <d v="2026-01-08T00:00:00"/>
        <d v="2026-01-09T00:00:00"/>
        <d v="2026-01-10T00:00:00"/>
        <d v="2026-01-11T00:00:00"/>
        <d v="2026-01-12T00:00:00"/>
        <d v="2026-01-15T00:00:00"/>
        <d v="2026-01-19T00:00:00"/>
        <d v="2026-01-20T00:00:00"/>
        <d v="2026-01-21T00:00:00"/>
        <d v="2026-01-23T00:00:00"/>
        <d v="2026-01-24T00:00:00"/>
        <d v="2026-01-25T00:00:00"/>
        <d v="2026-01-26T00:00:00"/>
        <d v="2026-01-28T00:00:00"/>
        <d v="2026-01-30T00:00:00"/>
        <d v="2026-02-01T00:00:00"/>
        <d v="2026-02-02T00:00:00"/>
        <d v="2026-02-03T00:00:00"/>
        <d v="2026-02-05T00:00:00"/>
        <d v="2026-02-06T00:00:00"/>
        <d v="2026-02-07T00:00:00"/>
        <d v="2026-02-09T00:00:00"/>
        <d v="2026-02-10T00:00:00"/>
        <d v="2026-02-12T00:00:00"/>
        <d v="2026-02-14T00:00:00"/>
        <d v="2026-02-16T00:00:00"/>
        <d v="2026-02-18T00:00:00"/>
        <d v="2026-02-21T00:00:00"/>
        <d v="2026-02-22T00:00:00"/>
        <d v="2026-02-23T00:00:00"/>
        <d v="2026-02-26T00:00:00"/>
        <d v="2026-02-27T00:00:00"/>
        <d v="2026-03-05T00:00:00"/>
        <d v="2026-03-06T00:00:00"/>
        <d v="2026-03-07T00:00:00"/>
        <d v="2026-03-08T00:00:00"/>
        <d v="2026-03-09T00:00:00"/>
        <d v="2026-03-12T00:00:00"/>
        <d v="2026-03-13T00:00:00"/>
        <d v="2026-03-14T00:00:00"/>
        <d v="2026-03-17T00:00:00"/>
        <d v="2026-03-20T00:00:00"/>
        <d v="2026-03-24T00:00:00"/>
        <d v="2026-03-26T00:00:00"/>
        <d v="2026-03-27T00:00:00"/>
        <d v="2026-03-29T00:00:00"/>
        <d v="2026-03-31T00:00:00"/>
        <d v="2026-04-01T00:00:00"/>
        <d v="2026-04-04T00:00:00"/>
        <d v="2026-04-05T00:00:00"/>
        <d v="2026-04-08T00:00:00"/>
        <d v="2026-04-09T00:00:00"/>
        <d v="2026-04-13T00:00:00"/>
        <d v="2026-04-14T00:00:00"/>
        <d v="2026-04-16T00:00:00"/>
        <d v="2026-04-19T00:00:00"/>
        <d v="2026-04-20T00:00:00"/>
        <d v="2026-04-21T00:00:00"/>
        <d v="2026-04-22T00:00:00"/>
        <d v="2026-04-24T00:00:00"/>
        <d v="2026-04-25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5T00:00:00"/>
        <d v="2026-05-07T00:00:00"/>
        <d v="2026-05-10T00:00:00"/>
        <d v="2026-05-11T00:00:00"/>
        <d v="2026-05-13T00:00:00"/>
        <d v="2026-05-16T00:00:00"/>
        <d v="2026-05-19T00:00:00"/>
        <d v="2026-05-22T00:00:00"/>
        <d v="2026-05-23T00:00:00"/>
        <d v="2026-05-25T00:00:00"/>
        <d v="2026-05-26T00:00:00"/>
        <d v="2026-06-01T00:00:00"/>
        <d v="2026-06-02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6T00:00:00"/>
        <d v="2026-06-17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8T00:00:00"/>
        <d v="2026-07-05T00:00:00"/>
        <d v="2026-07-06T00:00:00"/>
        <d v="2026-07-07T00:00:00"/>
        <d v="2026-07-08T00:00:00"/>
        <d v="2026-07-10T00:00:00"/>
        <d v="2026-07-11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4T00:00:00"/>
        <d v="2026-07-26T00:00:00"/>
        <d v="2026-07-30T00:00:00"/>
        <d v="2026-07-31T00:00:00"/>
        <d v="2026-08-02T00:00:00"/>
        <d v="2026-08-03T00:00:00"/>
        <d v="2026-08-07T00:00:00"/>
        <d v="2026-08-08T00:00:00"/>
        <d v="2026-08-10T00:00:00"/>
        <d v="2026-08-17T00:00:00"/>
        <d v="2026-08-19T00:00:00"/>
        <d v="2026-08-20T00:00:00"/>
        <d v="2026-08-21T00:00:00"/>
        <d v="2026-08-22T00:00:00"/>
        <d v="2026-08-27T00:00:00"/>
        <d v="2026-08-29T00:00:00"/>
        <d v="2026-08-30T00:00:00"/>
      </sharedItems>
    </cacheField>
    <cacheField name="Customer" numFmtId="0">
      <sharedItems count="20">
        <s v="Amit"/>
        <s v="Anjali"/>
        <s v="Arjun"/>
        <s v="Karan"/>
        <s v="Kavita"/>
        <s v="Manish"/>
        <s v="Meena"/>
        <s v="Neha"/>
        <s v="Nikhil"/>
        <s v="Pooja"/>
        <s v="Priya"/>
        <s v="Rahul"/>
        <s v="Riya"/>
        <s v="Rohit"/>
        <s v="Saurabh"/>
        <s v="Shreya"/>
        <s v="Simran"/>
        <s v="Sneha"/>
        <s v="Varun"/>
        <s v="Vikas"/>
      </sharedItems>
    </cacheField>
    <cacheField name="City" numFmtId="0">
      <sharedItems count="15">
        <s v="Agra"/>
        <s v="Ahmedabad"/>
        <s v="Bengaluru"/>
        <s v="Bhopal"/>
        <s v="Chennai"/>
        <s v="Delhi"/>
        <s v="Hyderabad"/>
        <s v="Indore"/>
        <s v="Jaipur"/>
        <s v="Kolkata"/>
        <s v="Lucknow"/>
        <s v="Mathura"/>
        <s v="Mumbai"/>
        <s v="Pune"/>
        <s v="Surat"/>
      </sharedItems>
    </cacheField>
    <cacheField name="State" numFmtId="0">
      <sharedItems count="10">
        <s v="Delhi"/>
        <s v="Gujarat"/>
        <s v="Karnataka"/>
        <s v="Madhya Pradesh"/>
        <s v="Maharashtra"/>
        <s v="Rajasthan"/>
        <s v="Tamil Nadu"/>
        <s v="Telangana"/>
        <s v="Uttar Pradesh"/>
        <s v="West Bengal"/>
      </sharedItems>
    </cacheField>
    <cacheField name="Product" numFmtId="0">
      <sharedItems count="15">
        <s v="Backpack"/>
        <s v="Bookshelf"/>
        <s v="Desk"/>
        <s v="Headphones"/>
        <s v="Keyboard"/>
        <s v="Laptop"/>
        <s v="Monitor"/>
        <s v="Mouse"/>
        <s v="Notebook"/>
        <s v="Office Chair"/>
        <s v="Pen Set"/>
        <s v="Printer"/>
        <s v="Smartphone"/>
        <s v="Table Lamp"/>
        <s v="USB Drive"/>
      </sharedItems>
    </cacheField>
    <cacheField name="Category" numFmtId="0">
      <sharedItems count="5">
        <s v="Accessories"/>
        <s v="Electronics"/>
        <s v="Furniture"/>
        <s v="Home"/>
        <s v="Stationery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 Price" numFmtId="0">
      <sharedItems containsSemiMixedTypes="0" containsString="0" containsNumber="1" containsInteger="1" minValue="180" maxValue="55000" count="14">
        <n v="180"/>
        <n v="250"/>
        <n v="800"/>
        <n v="900"/>
        <n v="1600"/>
        <n v="1800"/>
        <n v="2200"/>
        <n v="2500"/>
        <n v="7000"/>
        <n v="8500"/>
        <n v="12000"/>
        <n v="14000"/>
        <n v="25000"/>
        <n v="55000"/>
      </sharedItems>
    </cacheField>
    <cacheField name="Discount" numFmtId="0">
      <sharedItems containsSemiMixedTypes="0" containsString="0" containsNumber="1" minValue="0" maxValue="0.15" count="4">
        <n v="0"/>
        <n v="0.05"/>
        <n v="0.1"/>
        <n v="0.15"/>
      </sharedItems>
    </cacheField>
    <cacheField name="Sales" numFmtId="0">
      <sharedItems containsSemiMixedTypes="0" containsString="0" containsNumber="1" minValue="237.5" maxValue="261250" count="141">
        <n v="237.5"/>
        <n v="250"/>
        <n v="342"/>
        <n v="425"/>
        <n v="475"/>
        <n v="486"/>
        <n v="513"/>
        <n v="540"/>
        <n v="675"/>
        <n v="680"/>
        <n v="684"/>
        <n v="720"/>
        <n v="750"/>
        <n v="760"/>
        <n v="765"/>
        <n v="810"/>
        <n v="850"/>
        <n v="900"/>
        <n v="950"/>
        <n v="1062.5"/>
        <n v="1187.5"/>
        <n v="1360"/>
        <n v="1440"/>
        <n v="1520"/>
        <n v="1620"/>
        <n v="1710"/>
        <n v="1800"/>
        <n v="1870"/>
        <n v="1980"/>
        <n v="2040"/>
        <n v="2090"/>
        <n v="2250"/>
        <n v="2280"/>
        <n v="2500"/>
        <n v="2565"/>
        <n v="2700"/>
        <n v="2720"/>
        <n v="2880"/>
        <n v="3040"/>
        <n v="3060"/>
        <n v="3240"/>
        <n v="3420"/>
        <n v="3600"/>
        <n v="3825"/>
        <n v="3960"/>
        <n v="4050"/>
        <n v="4080"/>
        <n v="4320"/>
        <n v="4500"/>
        <n v="4560"/>
        <n v="4590"/>
        <n v="4750"/>
        <n v="4860"/>
        <n v="5130"/>
        <n v="5400"/>
        <n v="5610"/>
        <n v="5760"/>
        <n v="5950"/>
        <n v="6120"/>
        <n v="6270"/>
        <n v="6300"/>
        <n v="6375"/>
        <n v="6400"/>
        <n v="6480"/>
        <n v="6600"/>
        <n v="6650"/>
        <n v="6800"/>
        <n v="6840"/>
        <n v="7000"/>
        <n v="7225"/>
        <n v="7500"/>
        <n v="7650"/>
        <n v="7920"/>
        <n v="8075"/>
        <n v="8100"/>
        <n v="8500"/>
        <n v="9000"/>
        <n v="9350"/>
        <n v="9500"/>
        <n v="9900"/>
        <n v="10200"/>
        <n v="10800"/>
        <n v="11000"/>
        <n v="11400"/>
        <n v="12000"/>
        <n v="12600"/>
        <n v="14000"/>
        <n v="17000"/>
        <n v="18900"/>
        <n v="19950"/>
        <n v="20400"/>
        <n v="21000"/>
        <n v="21250"/>
        <n v="21675"/>
        <n v="22500"/>
        <n v="22800"/>
        <n v="23750"/>
        <n v="23800"/>
        <n v="24000"/>
        <n v="24225"/>
        <n v="26600"/>
        <n v="28000"/>
        <n v="29750"/>
        <n v="30600"/>
        <n v="32400"/>
        <n v="33250"/>
        <n v="34200"/>
        <n v="35000"/>
        <n v="36000"/>
        <n v="36125"/>
        <n v="37800"/>
        <n v="38250"/>
        <n v="39900"/>
        <n v="40800"/>
        <n v="42500"/>
        <n v="43200"/>
        <n v="45600"/>
        <n v="47500"/>
        <n v="48000"/>
        <n v="49500"/>
        <n v="50400"/>
        <n v="51000"/>
        <n v="56000"/>
        <n v="57000"/>
        <n v="59500"/>
        <n v="63000"/>
        <n v="67500"/>
        <n v="70000"/>
        <n v="85000"/>
        <n v="93500"/>
        <n v="95000"/>
        <n v="100000"/>
        <n v="118750"/>
        <n v="125000"/>
        <n v="140250"/>
        <n v="156750"/>
        <n v="165000"/>
        <n v="187000"/>
        <n v="198000"/>
        <n v="247500"/>
        <n v="261250"/>
      </sharedItems>
    </cacheField>
    <cacheField name="Profit" numFmtId="0">
      <sharedItems containsSemiMixedTypes="0" containsString="0" containsNumber="1" minValue="71.25" maxValue="26125" count="142">
        <n v="71.25"/>
        <n v="75"/>
        <n v="95.76"/>
        <n v="127.5"/>
        <n v="136.08"/>
        <n v="142.5"/>
        <n v="143.64"/>
        <n v="151.2"/>
        <n v="163.2"/>
        <n v="182.4"/>
        <n v="191.52"/>
        <n v="201.6"/>
        <n v="202.5"/>
        <n v="214.2"/>
        <n v="225"/>
        <n v="226.8"/>
        <n v="252"/>
        <n v="255"/>
        <n v="285"/>
        <n v="288"/>
        <n v="304"/>
        <n v="307.8"/>
        <n v="318.75"/>
        <n v="324"/>
        <n v="326.4"/>
        <n v="345.6"/>
        <n v="356.25"/>
        <n v="364.8"/>
        <n v="405"/>
        <n v="411.4"/>
        <n v="435.6"/>
        <n v="450"/>
        <n v="459.8"/>
        <n v="489.6"/>
        <n v="500"/>
        <n v="547.2"/>
        <n v="550.8"/>
        <n v="641.25"/>
        <n v="652.8"/>
        <n v="675"/>
        <n v="691.2"/>
        <n v="729.6"/>
        <n v="810"/>
        <n v="816"/>
        <n v="826.2"/>
        <n v="855"/>
        <n v="864"/>
        <n v="871.2"/>
        <n v="874.8"/>
        <n v="892.5"/>
        <n v="900"/>
        <n v="912"/>
        <n v="923.4"/>
        <n v="945"/>
        <n v="950"/>
        <n v="956.25"/>
        <n v="972"/>
        <n v="997.5"/>
        <n v="1011.5"/>
        <n v="1012.5"/>
        <n v="1050"/>
        <n v="1080"/>
        <n v="1101.6"/>
        <n v="1125"/>
        <n v="1130.5"/>
        <n v="1152"/>
        <n v="1166.4"/>
        <n v="1200"/>
        <n v="1224"/>
        <n v="1231.2"/>
        <n v="1234.2"/>
        <n v="1275"/>
        <n v="1280"/>
        <n v="1360"/>
        <n v="1368"/>
        <n v="1377"/>
        <n v="1379.4"/>
        <n v="1452"/>
        <n v="1458"/>
        <n v="1500"/>
        <n v="1620"/>
        <n v="1680"/>
        <n v="1700"/>
        <n v="1742.4"/>
        <n v="1800"/>
        <n v="1890"/>
        <n v="1900"/>
        <n v="2040"/>
        <n v="2057"/>
        <n v="2178"/>
        <n v="2380"/>
        <n v="2400"/>
        <n v="2420"/>
        <n v="2736"/>
        <n v="2835"/>
        <n v="2856"/>
        <n v="2992.5"/>
        <n v="3034.5"/>
        <n v="3150"/>
        <n v="3391.5"/>
        <n v="3400"/>
        <n v="3600"/>
        <n v="3672"/>
        <n v="3800"/>
        <n v="3888"/>
        <n v="3990"/>
        <n v="4104"/>
        <n v="4200"/>
        <n v="4284"/>
        <n v="4320"/>
        <n v="4462.5"/>
        <n v="4536"/>
        <n v="4560"/>
        <n v="4788"/>
        <n v="4896"/>
        <n v="4950"/>
        <n v="4987.5"/>
        <n v="5057.5"/>
        <n v="5250"/>
        <n v="5355"/>
        <n v="5400"/>
        <n v="5760"/>
        <n v="6048"/>
        <n v="6120"/>
        <n v="6720"/>
        <n v="6800"/>
        <n v="6840"/>
        <n v="7140"/>
        <n v="7560"/>
        <n v="7600"/>
        <n v="8000"/>
        <n v="8400"/>
        <n v="9350"/>
        <n v="9500"/>
        <n v="10000"/>
        <n v="14025"/>
        <n v="15675"/>
        <n v="16500"/>
        <n v="18700"/>
        <n v="19800"/>
        <n v="24750"/>
        <n v="26125"/>
      </sharedItems>
    </cacheField>
    <cacheField name="Payment Mode" numFmtId="0">
      <sharedItems count="5">
        <s v="Card"/>
        <s v="Cash"/>
        <s v="EMI"/>
        <s v="Net Banking"/>
        <s v="UP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94"/>
    <x v="0"/>
    <x v="9"/>
    <x v="0"/>
    <x v="8"/>
    <x v="8"/>
    <x v="4"/>
    <x v="3"/>
    <x v="1"/>
    <x v="3"/>
    <x v="16"/>
    <x v="17"/>
    <x v="2"/>
  </r>
  <r>
    <x v="118"/>
    <x v="1"/>
    <x v="19"/>
    <x v="6"/>
    <x v="7"/>
    <x v="12"/>
    <x v="1"/>
    <x v="1"/>
    <x v="12"/>
    <x v="3"/>
    <x v="114"/>
    <x v="100"/>
    <x v="3"/>
  </r>
  <r>
    <x v="68"/>
    <x v="2"/>
    <x v="19"/>
    <x v="9"/>
    <x v="9"/>
    <x v="2"/>
    <x v="2"/>
    <x v="2"/>
    <x v="10"/>
    <x v="2"/>
    <x v="104"/>
    <x v="104"/>
    <x v="4"/>
  </r>
  <r>
    <x v="65"/>
    <x v="2"/>
    <x v="2"/>
    <x v="13"/>
    <x v="4"/>
    <x v="8"/>
    <x v="4"/>
    <x v="3"/>
    <x v="1"/>
    <x v="1"/>
    <x v="18"/>
    <x v="18"/>
    <x v="1"/>
  </r>
  <r>
    <x v="116"/>
    <x v="3"/>
    <x v="2"/>
    <x v="2"/>
    <x v="2"/>
    <x v="3"/>
    <x v="1"/>
    <x v="3"/>
    <x v="7"/>
    <x v="1"/>
    <x v="78"/>
    <x v="86"/>
    <x v="1"/>
  </r>
  <r>
    <x v="137"/>
    <x v="4"/>
    <x v="9"/>
    <x v="8"/>
    <x v="5"/>
    <x v="14"/>
    <x v="0"/>
    <x v="2"/>
    <x v="2"/>
    <x v="3"/>
    <x v="29"/>
    <x v="33"/>
    <x v="4"/>
  </r>
  <r>
    <x v="168"/>
    <x v="5"/>
    <x v="0"/>
    <x v="4"/>
    <x v="6"/>
    <x v="4"/>
    <x v="1"/>
    <x v="2"/>
    <x v="5"/>
    <x v="1"/>
    <x v="53"/>
    <x v="52"/>
    <x v="4"/>
  </r>
  <r>
    <x v="145"/>
    <x v="6"/>
    <x v="17"/>
    <x v="14"/>
    <x v="1"/>
    <x v="1"/>
    <x v="2"/>
    <x v="4"/>
    <x v="8"/>
    <x v="3"/>
    <x v="102"/>
    <x v="110"/>
    <x v="1"/>
  </r>
  <r>
    <x v="73"/>
    <x v="7"/>
    <x v="12"/>
    <x v="1"/>
    <x v="1"/>
    <x v="5"/>
    <x v="1"/>
    <x v="4"/>
    <x v="13"/>
    <x v="1"/>
    <x v="140"/>
    <x v="141"/>
    <x v="1"/>
  </r>
  <r>
    <x v="170"/>
    <x v="7"/>
    <x v="10"/>
    <x v="0"/>
    <x v="8"/>
    <x v="6"/>
    <x v="1"/>
    <x v="2"/>
    <x v="11"/>
    <x v="2"/>
    <x v="110"/>
    <x v="111"/>
    <x v="3"/>
  </r>
  <r>
    <x v="9"/>
    <x v="7"/>
    <x v="1"/>
    <x v="9"/>
    <x v="9"/>
    <x v="8"/>
    <x v="4"/>
    <x v="2"/>
    <x v="1"/>
    <x v="0"/>
    <x v="12"/>
    <x v="14"/>
    <x v="0"/>
  </r>
  <r>
    <x v="44"/>
    <x v="8"/>
    <x v="18"/>
    <x v="5"/>
    <x v="0"/>
    <x v="1"/>
    <x v="2"/>
    <x v="4"/>
    <x v="8"/>
    <x v="1"/>
    <x v="105"/>
    <x v="116"/>
    <x v="4"/>
  </r>
  <r>
    <x v="26"/>
    <x v="8"/>
    <x v="18"/>
    <x v="8"/>
    <x v="5"/>
    <x v="12"/>
    <x v="1"/>
    <x v="0"/>
    <x v="12"/>
    <x v="3"/>
    <x v="92"/>
    <x v="82"/>
    <x v="4"/>
  </r>
  <r>
    <x v="140"/>
    <x v="9"/>
    <x v="17"/>
    <x v="5"/>
    <x v="0"/>
    <x v="8"/>
    <x v="4"/>
    <x v="2"/>
    <x v="1"/>
    <x v="2"/>
    <x v="8"/>
    <x v="12"/>
    <x v="3"/>
  </r>
  <r>
    <x v="89"/>
    <x v="10"/>
    <x v="9"/>
    <x v="1"/>
    <x v="1"/>
    <x v="4"/>
    <x v="1"/>
    <x v="2"/>
    <x v="5"/>
    <x v="2"/>
    <x v="52"/>
    <x v="48"/>
    <x v="1"/>
  </r>
  <r>
    <x v="136"/>
    <x v="10"/>
    <x v="11"/>
    <x v="13"/>
    <x v="4"/>
    <x v="2"/>
    <x v="2"/>
    <x v="3"/>
    <x v="10"/>
    <x v="3"/>
    <x v="113"/>
    <x v="114"/>
    <x v="1"/>
  </r>
  <r>
    <x v="166"/>
    <x v="10"/>
    <x v="3"/>
    <x v="2"/>
    <x v="2"/>
    <x v="9"/>
    <x v="2"/>
    <x v="4"/>
    <x v="9"/>
    <x v="3"/>
    <x v="109"/>
    <x v="117"/>
    <x v="4"/>
  </r>
  <r>
    <x v="47"/>
    <x v="11"/>
    <x v="18"/>
    <x v="11"/>
    <x v="8"/>
    <x v="0"/>
    <x v="0"/>
    <x v="4"/>
    <x v="6"/>
    <x v="2"/>
    <x v="79"/>
    <x v="89"/>
    <x v="1"/>
  </r>
  <r>
    <x v="149"/>
    <x v="12"/>
    <x v="3"/>
    <x v="0"/>
    <x v="8"/>
    <x v="9"/>
    <x v="2"/>
    <x v="0"/>
    <x v="9"/>
    <x v="3"/>
    <x v="69"/>
    <x v="58"/>
    <x v="2"/>
  </r>
  <r>
    <x v="57"/>
    <x v="13"/>
    <x v="12"/>
    <x v="9"/>
    <x v="9"/>
    <x v="10"/>
    <x v="4"/>
    <x v="2"/>
    <x v="0"/>
    <x v="0"/>
    <x v="7"/>
    <x v="7"/>
    <x v="4"/>
  </r>
  <r>
    <x v="192"/>
    <x v="14"/>
    <x v="6"/>
    <x v="8"/>
    <x v="5"/>
    <x v="3"/>
    <x v="1"/>
    <x v="3"/>
    <x v="7"/>
    <x v="3"/>
    <x v="75"/>
    <x v="82"/>
    <x v="1"/>
  </r>
  <r>
    <x v="196"/>
    <x v="15"/>
    <x v="16"/>
    <x v="9"/>
    <x v="9"/>
    <x v="11"/>
    <x v="1"/>
    <x v="2"/>
    <x v="10"/>
    <x v="0"/>
    <x v="108"/>
    <x v="101"/>
    <x v="3"/>
  </r>
  <r>
    <x v="107"/>
    <x v="16"/>
    <x v="11"/>
    <x v="4"/>
    <x v="6"/>
    <x v="13"/>
    <x v="3"/>
    <x v="2"/>
    <x v="4"/>
    <x v="3"/>
    <x v="46"/>
    <x v="43"/>
    <x v="3"/>
  </r>
  <r>
    <x v="191"/>
    <x v="17"/>
    <x v="10"/>
    <x v="13"/>
    <x v="4"/>
    <x v="5"/>
    <x v="1"/>
    <x v="2"/>
    <x v="13"/>
    <x v="3"/>
    <x v="134"/>
    <x v="135"/>
    <x v="4"/>
  </r>
  <r>
    <x v="139"/>
    <x v="17"/>
    <x v="1"/>
    <x v="6"/>
    <x v="7"/>
    <x v="7"/>
    <x v="0"/>
    <x v="1"/>
    <x v="3"/>
    <x v="2"/>
    <x v="24"/>
    <x v="28"/>
    <x v="0"/>
  </r>
  <r>
    <x v="130"/>
    <x v="17"/>
    <x v="0"/>
    <x v="7"/>
    <x v="3"/>
    <x v="2"/>
    <x v="2"/>
    <x v="3"/>
    <x v="10"/>
    <x v="0"/>
    <x v="118"/>
    <x v="121"/>
    <x v="2"/>
  </r>
  <r>
    <x v="153"/>
    <x v="18"/>
    <x v="15"/>
    <x v="5"/>
    <x v="0"/>
    <x v="8"/>
    <x v="4"/>
    <x v="1"/>
    <x v="1"/>
    <x v="1"/>
    <x v="4"/>
    <x v="5"/>
    <x v="1"/>
  </r>
  <r>
    <x v="141"/>
    <x v="18"/>
    <x v="9"/>
    <x v="2"/>
    <x v="2"/>
    <x v="14"/>
    <x v="0"/>
    <x v="3"/>
    <x v="2"/>
    <x v="2"/>
    <x v="37"/>
    <x v="40"/>
    <x v="2"/>
  </r>
  <r>
    <x v="127"/>
    <x v="19"/>
    <x v="10"/>
    <x v="10"/>
    <x v="8"/>
    <x v="5"/>
    <x v="1"/>
    <x v="4"/>
    <x v="13"/>
    <x v="2"/>
    <x v="139"/>
    <x v="140"/>
    <x v="0"/>
  </r>
  <r>
    <x v="76"/>
    <x v="19"/>
    <x v="12"/>
    <x v="8"/>
    <x v="5"/>
    <x v="7"/>
    <x v="0"/>
    <x v="3"/>
    <x v="3"/>
    <x v="1"/>
    <x v="41"/>
    <x v="45"/>
    <x v="2"/>
  </r>
  <r>
    <x v="199"/>
    <x v="19"/>
    <x v="18"/>
    <x v="14"/>
    <x v="1"/>
    <x v="4"/>
    <x v="1"/>
    <x v="0"/>
    <x v="5"/>
    <x v="1"/>
    <x v="25"/>
    <x v="21"/>
    <x v="2"/>
  </r>
  <r>
    <x v="184"/>
    <x v="20"/>
    <x v="6"/>
    <x v="14"/>
    <x v="1"/>
    <x v="13"/>
    <x v="3"/>
    <x v="2"/>
    <x v="4"/>
    <x v="2"/>
    <x v="47"/>
    <x v="46"/>
    <x v="0"/>
  </r>
  <r>
    <x v="1"/>
    <x v="21"/>
    <x v="7"/>
    <x v="1"/>
    <x v="1"/>
    <x v="7"/>
    <x v="0"/>
    <x v="4"/>
    <x v="3"/>
    <x v="0"/>
    <x v="48"/>
    <x v="63"/>
    <x v="2"/>
  </r>
  <r>
    <x v="16"/>
    <x v="22"/>
    <x v="13"/>
    <x v="10"/>
    <x v="8"/>
    <x v="4"/>
    <x v="1"/>
    <x v="4"/>
    <x v="5"/>
    <x v="2"/>
    <x v="74"/>
    <x v="78"/>
    <x v="2"/>
  </r>
  <r>
    <x v="171"/>
    <x v="23"/>
    <x v="14"/>
    <x v="8"/>
    <x v="5"/>
    <x v="2"/>
    <x v="2"/>
    <x v="4"/>
    <x v="10"/>
    <x v="1"/>
    <x v="123"/>
    <x v="126"/>
    <x v="0"/>
  </r>
  <r>
    <x v="55"/>
    <x v="24"/>
    <x v="9"/>
    <x v="10"/>
    <x v="8"/>
    <x v="0"/>
    <x v="0"/>
    <x v="1"/>
    <x v="6"/>
    <x v="2"/>
    <x v="44"/>
    <x v="47"/>
    <x v="0"/>
  </r>
  <r>
    <x v="66"/>
    <x v="25"/>
    <x v="7"/>
    <x v="14"/>
    <x v="1"/>
    <x v="2"/>
    <x v="2"/>
    <x v="0"/>
    <x v="10"/>
    <x v="3"/>
    <x v="80"/>
    <x v="68"/>
    <x v="0"/>
  </r>
  <r>
    <x v="175"/>
    <x v="25"/>
    <x v="5"/>
    <x v="12"/>
    <x v="4"/>
    <x v="9"/>
    <x v="2"/>
    <x v="4"/>
    <x v="9"/>
    <x v="2"/>
    <x v="111"/>
    <x v="119"/>
    <x v="3"/>
  </r>
  <r>
    <x v="106"/>
    <x v="26"/>
    <x v="15"/>
    <x v="4"/>
    <x v="6"/>
    <x v="14"/>
    <x v="0"/>
    <x v="0"/>
    <x v="2"/>
    <x v="1"/>
    <x v="13"/>
    <x v="9"/>
    <x v="1"/>
  </r>
  <r>
    <x v="172"/>
    <x v="27"/>
    <x v="15"/>
    <x v="12"/>
    <x v="4"/>
    <x v="10"/>
    <x v="4"/>
    <x v="3"/>
    <x v="0"/>
    <x v="1"/>
    <x v="10"/>
    <x v="10"/>
    <x v="3"/>
  </r>
  <r>
    <x v="146"/>
    <x v="28"/>
    <x v="12"/>
    <x v="4"/>
    <x v="6"/>
    <x v="7"/>
    <x v="0"/>
    <x v="3"/>
    <x v="3"/>
    <x v="0"/>
    <x v="42"/>
    <x v="50"/>
    <x v="3"/>
  </r>
  <r>
    <x v="157"/>
    <x v="29"/>
    <x v="15"/>
    <x v="3"/>
    <x v="3"/>
    <x v="11"/>
    <x v="1"/>
    <x v="1"/>
    <x v="10"/>
    <x v="0"/>
    <x v="98"/>
    <x v="91"/>
    <x v="1"/>
  </r>
  <r>
    <x v="37"/>
    <x v="29"/>
    <x v="5"/>
    <x v="6"/>
    <x v="7"/>
    <x v="3"/>
    <x v="1"/>
    <x v="3"/>
    <x v="7"/>
    <x v="1"/>
    <x v="78"/>
    <x v="86"/>
    <x v="1"/>
  </r>
  <r>
    <x v="67"/>
    <x v="30"/>
    <x v="5"/>
    <x v="7"/>
    <x v="3"/>
    <x v="9"/>
    <x v="2"/>
    <x v="2"/>
    <x v="9"/>
    <x v="1"/>
    <x v="99"/>
    <x v="99"/>
    <x v="0"/>
  </r>
  <r>
    <x v="152"/>
    <x v="31"/>
    <x v="6"/>
    <x v="10"/>
    <x v="8"/>
    <x v="3"/>
    <x v="1"/>
    <x v="2"/>
    <x v="7"/>
    <x v="3"/>
    <x v="61"/>
    <x v="71"/>
    <x v="3"/>
  </r>
  <r>
    <x v="48"/>
    <x v="31"/>
    <x v="2"/>
    <x v="9"/>
    <x v="9"/>
    <x v="4"/>
    <x v="1"/>
    <x v="2"/>
    <x v="5"/>
    <x v="3"/>
    <x v="50"/>
    <x v="44"/>
    <x v="0"/>
  </r>
  <r>
    <x v="78"/>
    <x v="32"/>
    <x v="18"/>
    <x v="11"/>
    <x v="8"/>
    <x v="0"/>
    <x v="0"/>
    <x v="2"/>
    <x v="6"/>
    <x v="3"/>
    <x v="55"/>
    <x v="70"/>
    <x v="3"/>
  </r>
  <r>
    <x v="31"/>
    <x v="33"/>
    <x v="0"/>
    <x v="5"/>
    <x v="0"/>
    <x v="14"/>
    <x v="0"/>
    <x v="0"/>
    <x v="2"/>
    <x v="1"/>
    <x v="13"/>
    <x v="9"/>
    <x v="4"/>
  </r>
  <r>
    <x v="84"/>
    <x v="33"/>
    <x v="14"/>
    <x v="13"/>
    <x v="4"/>
    <x v="1"/>
    <x v="2"/>
    <x v="0"/>
    <x v="8"/>
    <x v="1"/>
    <x v="65"/>
    <x v="57"/>
    <x v="4"/>
  </r>
  <r>
    <x v="190"/>
    <x v="33"/>
    <x v="0"/>
    <x v="9"/>
    <x v="9"/>
    <x v="7"/>
    <x v="0"/>
    <x v="3"/>
    <x v="3"/>
    <x v="2"/>
    <x v="40"/>
    <x v="42"/>
    <x v="3"/>
  </r>
  <r>
    <x v="96"/>
    <x v="33"/>
    <x v="12"/>
    <x v="10"/>
    <x v="8"/>
    <x v="1"/>
    <x v="2"/>
    <x v="0"/>
    <x v="8"/>
    <x v="3"/>
    <x v="57"/>
    <x v="49"/>
    <x v="1"/>
  </r>
  <r>
    <x v="81"/>
    <x v="34"/>
    <x v="19"/>
    <x v="14"/>
    <x v="1"/>
    <x v="3"/>
    <x v="1"/>
    <x v="0"/>
    <x v="7"/>
    <x v="0"/>
    <x v="33"/>
    <x v="34"/>
    <x v="0"/>
  </r>
  <r>
    <x v="30"/>
    <x v="35"/>
    <x v="0"/>
    <x v="8"/>
    <x v="5"/>
    <x v="9"/>
    <x v="2"/>
    <x v="0"/>
    <x v="9"/>
    <x v="1"/>
    <x v="73"/>
    <x v="64"/>
    <x v="2"/>
  </r>
  <r>
    <x v="132"/>
    <x v="35"/>
    <x v="6"/>
    <x v="12"/>
    <x v="4"/>
    <x v="8"/>
    <x v="4"/>
    <x v="3"/>
    <x v="1"/>
    <x v="1"/>
    <x v="18"/>
    <x v="18"/>
    <x v="2"/>
  </r>
  <r>
    <x v="123"/>
    <x v="36"/>
    <x v="7"/>
    <x v="8"/>
    <x v="5"/>
    <x v="14"/>
    <x v="0"/>
    <x v="1"/>
    <x v="2"/>
    <x v="2"/>
    <x v="22"/>
    <x v="25"/>
    <x v="4"/>
  </r>
  <r>
    <x v="185"/>
    <x v="37"/>
    <x v="4"/>
    <x v="3"/>
    <x v="3"/>
    <x v="8"/>
    <x v="4"/>
    <x v="2"/>
    <x v="1"/>
    <x v="2"/>
    <x v="8"/>
    <x v="12"/>
    <x v="4"/>
  </r>
  <r>
    <x v="174"/>
    <x v="37"/>
    <x v="11"/>
    <x v="9"/>
    <x v="9"/>
    <x v="13"/>
    <x v="3"/>
    <x v="3"/>
    <x v="4"/>
    <x v="2"/>
    <x v="56"/>
    <x v="65"/>
    <x v="2"/>
  </r>
  <r>
    <x v="100"/>
    <x v="38"/>
    <x v="2"/>
    <x v="11"/>
    <x v="8"/>
    <x v="4"/>
    <x v="1"/>
    <x v="3"/>
    <x v="5"/>
    <x v="2"/>
    <x v="63"/>
    <x v="66"/>
    <x v="1"/>
  </r>
  <r>
    <x v="135"/>
    <x v="39"/>
    <x v="0"/>
    <x v="9"/>
    <x v="9"/>
    <x v="3"/>
    <x v="1"/>
    <x v="1"/>
    <x v="7"/>
    <x v="1"/>
    <x v="51"/>
    <x v="54"/>
    <x v="2"/>
  </r>
  <r>
    <x v="51"/>
    <x v="39"/>
    <x v="16"/>
    <x v="13"/>
    <x v="4"/>
    <x v="13"/>
    <x v="3"/>
    <x v="0"/>
    <x v="4"/>
    <x v="1"/>
    <x v="23"/>
    <x v="20"/>
    <x v="1"/>
  </r>
  <r>
    <x v="71"/>
    <x v="39"/>
    <x v="7"/>
    <x v="5"/>
    <x v="0"/>
    <x v="0"/>
    <x v="0"/>
    <x v="3"/>
    <x v="6"/>
    <x v="2"/>
    <x v="72"/>
    <x v="83"/>
    <x v="1"/>
  </r>
  <r>
    <x v="197"/>
    <x v="40"/>
    <x v="7"/>
    <x v="8"/>
    <x v="5"/>
    <x v="10"/>
    <x v="4"/>
    <x v="3"/>
    <x v="0"/>
    <x v="0"/>
    <x v="11"/>
    <x v="11"/>
    <x v="0"/>
  </r>
  <r>
    <x v="115"/>
    <x v="41"/>
    <x v="5"/>
    <x v="3"/>
    <x v="3"/>
    <x v="4"/>
    <x v="1"/>
    <x v="3"/>
    <x v="5"/>
    <x v="3"/>
    <x v="58"/>
    <x v="62"/>
    <x v="1"/>
  </r>
  <r>
    <x v="52"/>
    <x v="42"/>
    <x v="5"/>
    <x v="13"/>
    <x v="4"/>
    <x v="10"/>
    <x v="4"/>
    <x v="4"/>
    <x v="0"/>
    <x v="2"/>
    <x v="15"/>
    <x v="15"/>
    <x v="2"/>
  </r>
  <r>
    <x v="159"/>
    <x v="42"/>
    <x v="9"/>
    <x v="1"/>
    <x v="1"/>
    <x v="10"/>
    <x v="4"/>
    <x v="4"/>
    <x v="0"/>
    <x v="3"/>
    <x v="14"/>
    <x v="13"/>
    <x v="0"/>
  </r>
  <r>
    <x v="80"/>
    <x v="42"/>
    <x v="15"/>
    <x v="6"/>
    <x v="7"/>
    <x v="9"/>
    <x v="2"/>
    <x v="0"/>
    <x v="9"/>
    <x v="1"/>
    <x v="73"/>
    <x v="64"/>
    <x v="1"/>
  </r>
  <r>
    <x v="8"/>
    <x v="43"/>
    <x v="15"/>
    <x v="7"/>
    <x v="3"/>
    <x v="13"/>
    <x v="3"/>
    <x v="2"/>
    <x v="4"/>
    <x v="1"/>
    <x v="49"/>
    <x v="51"/>
    <x v="4"/>
  </r>
  <r>
    <x v="22"/>
    <x v="43"/>
    <x v="17"/>
    <x v="11"/>
    <x v="8"/>
    <x v="1"/>
    <x v="2"/>
    <x v="0"/>
    <x v="8"/>
    <x v="2"/>
    <x v="60"/>
    <x v="53"/>
    <x v="2"/>
  </r>
  <r>
    <x v="126"/>
    <x v="43"/>
    <x v="16"/>
    <x v="8"/>
    <x v="5"/>
    <x v="3"/>
    <x v="1"/>
    <x v="2"/>
    <x v="7"/>
    <x v="0"/>
    <x v="70"/>
    <x v="79"/>
    <x v="2"/>
  </r>
  <r>
    <x v="178"/>
    <x v="43"/>
    <x v="9"/>
    <x v="1"/>
    <x v="1"/>
    <x v="5"/>
    <x v="1"/>
    <x v="3"/>
    <x v="13"/>
    <x v="2"/>
    <x v="138"/>
    <x v="139"/>
    <x v="4"/>
  </r>
  <r>
    <x v="43"/>
    <x v="43"/>
    <x v="10"/>
    <x v="8"/>
    <x v="5"/>
    <x v="0"/>
    <x v="0"/>
    <x v="4"/>
    <x v="6"/>
    <x v="0"/>
    <x v="82"/>
    <x v="92"/>
    <x v="1"/>
  </r>
  <r>
    <x v="121"/>
    <x v="44"/>
    <x v="18"/>
    <x v="9"/>
    <x v="9"/>
    <x v="9"/>
    <x v="2"/>
    <x v="3"/>
    <x v="9"/>
    <x v="2"/>
    <x v="103"/>
    <x v="108"/>
    <x v="3"/>
  </r>
  <r>
    <x v="25"/>
    <x v="45"/>
    <x v="11"/>
    <x v="2"/>
    <x v="2"/>
    <x v="12"/>
    <x v="1"/>
    <x v="2"/>
    <x v="12"/>
    <x v="2"/>
    <x v="126"/>
    <x v="120"/>
    <x v="0"/>
  </r>
  <r>
    <x v="70"/>
    <x v="46"/>
    <x v="7"/>
    <x v="5"/>
    <x v="0"/>
    <x v="13"/>
    <x v="3"/>
    <x v="2"/>
    <x v="4"/>
    <x v="1"/>
    <x v="49"/>
    <x v="51"/>
    <x v="2"/>
  </r>
  <r>
    <x v="58"/>
    <x v="47"/>
    <x v="13"/>
    <x v="14"/>
    <x v="1"/>
    <x v="7"/>
    <x v="0"/>
    <x v="2"/>
    <x v="3"/>
    <x v="1"/>
    <x v="34"/>
    <x v="37"/>
    <x v="3"/>
  </r>
  <r>
    <x v="5"/>
    <x v="48"/>
    <x v="13"/>
    <x v="10"/>
    <x v="8"/>
    <x v="4"/>
    <x v="1"/>
    <x v="2"/>
    <x v="5"/>
    <x v="0"/>
    <x v="54"/>
    <x v="56"/>
    <x v="4"/>
  </r>
  <r>
    <x v="147"/>
    <x v="49"/>
    <x v="2"/>
    <x v="11"/>
    <x v="8"/>
    <x v="9"/>
    <x v="2"/>
    <x v="0"/>
    <x v="9"/>
    <x v="1"/>
    <x v="73"/>
    <x v="64"/>
    <x v="1"/>
  </r>
  <r>
    <x v="35"/>
    <x v="50"/>
    <x v="12"/>
    <x v="11"/>
    <x v="8"/>
    <x v="1"/>
    <x v="2"/>
    <x v="0"/>
    <x v="8"/>
    <x v="0"/>
    <x v="68"/>
    <x v="60"/>
    <x v="4"/>
  </r>
  <r>
    <x v="187"/>
    <x v="51"/>
    <x v="8"/>
    <x v="12"/>
    <x v="4"/>
    <x v="5"/>
    <x v="1"/>
    <x v="2"/>
    <x v="13"/>
    <x v="0"/>
    <x v="136"/>
    <x v="137"/>
    <x v="3"/>
  </r>
  <r>
    <x v="188"/>
    <x v="52"/>
    <x v="3"/>
    <x v="9"/>
    <x v="9"/>
    <x v="0"/>
    <x v="0"/>
    <x v="3"/>
    <x v="6"/>
    <x v="2"/>
    <x v="72"/>
    <x v="83"/>
    <x v="4"/>
  </r>
  <r>
    <x v="11"/>
    <x v="52"/>
    <x v="19"/>
    <x v="0"/>
    <x v="8"/>
    <x v="7"/>
    <x v="0"/>
    <x v="2"/>
    <x v="3"/>
    <x v="0"/>
    <x v="35"/>
    <x v="39"/>
    <x v="2"/>
  </r>
  <r>
    <x v="6"/>
    <x v="53"/>
    <x v="16"/>
    <x v="12"/>
    <x v="4"/>
    <x v="10"/>
    <x v="4"/>
    <x v="2"/>
    <x v="0"/>
    <x v="2"/>
    <x v="5"/>
    <x v="4"/>
    <x v="4"/>
  </r>
  <r>
    <x v="13"/>
    <x v="53"/>
    <x v="6"/>
    <x v="10"/>
    <x v="8"/>
    <x v="4"/>
    <x v="1"/>
    <x v="2"/>
    <x v="5"/>
    <x v="0"/>
    <x v="54"/>
    <x v="56"/>
    <x v="0"/>
  </r>
  <r>
    <x v="41"/>
    <x v="53"/>
    <x v="8"/>
    <x v="5"/>
    <x v="0"/>
    <x v="6"/>
    <x v="1"/>
    <x v="3"/>
    <x v="11"/>
    <x v="2"/>
    <x v="120"/>
    <x v="122"/>
    <x v="3"/>
  </r>
  <r>
    <x v="133"/>
    <x v="53"/>
    <x v="5"/>
    <x v="2"/>
    <x v="2"/>
    <x v="6"/>
    <x v="1"/>
    <x v="4"/>
    <x v="11"/>
    <x v="3"/>
    <x v="124"/>
    <x v="127"/>
    <x v="1"/>
  </r>
  <r>
    <x v="163"/>
    <x v="54"/>
    <x v="13"/>
    <x v="9"/>
    <x v="9"/>
    <x v="1"/>
    <x v="2"/>
    <x v="0"/>
    <x v="8"/>
    <x v="1"/>
    <x v="65"/>
    <x v="57"/>
    <x v="2"/>
  </r>
  <r>
    <x v="29"/>
    <x v="55"/>
    <x v="16"/>
    <x v="9"/>
    <x v="9"/>
    <x v="1"/>
    <x v="2"/>
    <x v="4"/>
    <x v="8"/>
    <x v="3"/>
    <x v="102"/>
    <x v="110"/>
    <x v="4"/>
  </r>
  <r>
    <x v="46"/>
    <x v="56"/>
    <x v="18"/>
    <x v="12"/>
    <x v="4"/>
    <x v="4"/>
    <x v="1"/>
    <x v="4"/>
    <x v="5"/>
    <x v="0"/>
    <x v="76"/>
    <x v="80"/>
    <x v="2"/>
  </r>
  <r>
    <x v="36"/>
    <x v="56"/>
    <x v="2"/>
    <x v="1"/>
    <x v="1"/>
    <x v="8"/>
    <x v="4"/>
    <x v="0"/>
    <x v="1"/>
    <x v="1"/>
    <x v="0"/>
    <x v="0"/>
    <x v="0"/>
  </r>
  <r>
    <x v="148"/>
    <x v="57"/>
    <x v="4"/>
    <x v="1"/>
    <x v="1"/>
    <x v="6"/>
    <x v="1"/>
    <x v="3"/>
    <x v="11"/>
    <x v="0"/>
    <x v="122"/>
    <x v="124"/>
    <x v="3"/>
  </r>
  <r>
    <x v="2"/>
    <x v="58"/>
    <x v="11"/>
    <x v="5"/>
    <x v="0"/>
    <x v="12"/>
    <x v="1"/>
    <x v="1"/>
    <x v="12"/>
    <x v="1"/>
    <x v="117"/>
    <x v="103"/>
    <x v="2"/>
  </r>
  <r>
    <x v="17"/>
    <x v="59"/>
    <x v="18"/>
    <x v="3"/>
    <x v="3"/>
    <x v="2"/>
    <x v="2"/>
    <x v="2"/>
    <x v="10"/>
    <x v="1"/>
    <x v="106"/>
    <x v="106"/>
    <x v="0"/>
  </r>
  <r>
    <x v="74"/>
    <x v="60"/>
    <x v="2"/>
    <x v="12"/>
    <x v="4"/>
    <x v="0"/>
    <x v="0"/>
    <x v="2"/>
    <x v="6"/>
    <x v="0"/>
    <x v="64"/>
    <x v="77"/>
    <x v="1"/>
  </r>
  <r>
    <x v="112"/>
    <x v="60"/>
    <x v="5"/>
    <x v="0"/>
    <x v="8"/>
    <x v="14"/>
    <x v="0"/>
    <x v="1"/>
    <x v="2"/>
    <x v="3"/>
    <x v="21"/>
    <x v="24"/>
    <x v="0"/>
  </r>
  <r>
    <x v="169"/>
    <x v="61"/>
    <x v="7"/>
    <x v="12"/>
    <x v="4"/>
    <x v="1"/>
    <x v="2"/>
    <x v="1"/>
    <x v="8"/>
    <x v="2"/>
    <x v="85"/>
    <x v="85"/>
    <x v="4"/>
  </r>
  <r>
    <x v="72"/>
    <x v="61"/>
    <x v="14"/>
    <x v="4"/>
    <x v="6"/>
    <x v="12"/>
    <x v="1"/>
    <x v="3"/>
    <x v="12"/>
    <x v="1"/>
    <x v="130"/>
    <x v="129"/>
    <x v="1"/>
  </r>
  <r>
    <x v="114"/>
    <x v="61"/>
    <x v="18"/>
    <x v="7"/>
    <x v="3"/>
    <x v="6"/>
    <x v="1"/>
    <x v="2"/>
    <x v="11"/>
    <x v="1"/>
    <x v="112"/>
    <x v="113"/>
    <x v="4"/>
  </r>
  <r>
    <x v="79"/>
    <x v="62"/>
    <x v="19"/>
    <x v="9"/>
    <x v="9"/>
    <x v="11"/>
    <x v="1"/>
    <x v="3"/>
    <x v="10"/>
    <x v="1"/>
    <x v="116"/>
    <x v="112"/>
    <x v="4"/>
  </r>
  <r>
    <x v="160"/>
    <x v="63"/>
    <x v="4"/>
    <x v="6"/>
    <x v="7"/>
    <x v="9"/>
    <x v="2"/>
    <x v="2"/>
    <x v="9"/>
    <x v="3"/>
    <x v="93"/>
    <x v="97"/>
    <x v="3"/>
  </r>
  <r>
    <x v="4"/>
    <x v="63"/>
    <x v="3"/>
    <x v="4"/>
    <x v="6"/>
    <x v="8"/>
    <x v="4"/>
    <x v="0"/>
    <x v="1"/>
    <x v="1"/>
    <x v="0"/>
    <x v="0"/>
    <x v="3"/>
  </r>
  <r>
    <x v="85"/>
    <x v="64"/>
    <x v="5"/>
    <x v="13"/>
    <x v="4"/>
    <x v="7"/>
    <x v="0"/>
    <x v="4"/>
    <x v="3"/>
    <x v="2"/>
    <x v="45"/>
    <x v="59"/>
    <x v="3"/>
  </r>
  <r>
    <x v="50"/>
    <x v="65"/>
    <x v="18"/>
    <x v="4"/>
    <x v="6"/>
    <x v="12"/>
    <x v="1"/>
    <x v="0"/>
    <x v="12"/>
    <x v="1"/>
    <x v="96"/>
    <x v="86"/>
    <x v="2"/>
  </r>
  <r>
    <x v="155"/>
    <x v="66"/>
    <x v="13"/>
    <x v="12"/>
    <x v="4"/>
    <x v="1"/>
    <x v="2"/>
    <x v="2"/>
    <x v="8"/>
    <x v="2"/>
    <x v="88"/>
    <x v="94"/>
    <x v="3"/>
  </r>
  <r>
    <x v="38"/>
    <x v="66"/>
    <x v="0"/>
    <x v="8"/>
    <x v="5"/>
    <x v="1"/>
    <x v="2"/>
    <x v="4"/>
    <x v="8"/>
    <x v="0"/>
    <x v="107"/>
    <x v="118"/>
    <x v="4"/>
  </r>
  <r>
    <x v="186"/>
    <x v="67"/>
    <x v="13"/>
    <x v="12"/>
    <x v="4"/>
    <x v="8"/>
    <x v="4"/>
    <x v="1"/>
    <x v="1"/>
    <x v="3"/>
    <x v="3"/>
    <x v="3"/>
    <x v="2"/>
  </r>
  <r>
    <x v="102"/>
    <x v="68"/>
    <x v="6"/>
    <x v="5"/>
    <x v="0"/>
    <x v="5"/>
    <x v="1"/>
    <x v="2"/>
    <x v="13"/>
    <x v="1"/>
    <x v="135"/>
    <x v="136"/>
    <x v="4"/>
  </r>
  <r>
    <x v="82"/>
    <x v="69"/>
    <x v="0"/>
    <x v="4"/>
    <x v="6"/>
    <x v="1"/>
    <x v="2"/>
    <x v="3"/>
    <x v="8"/>
    <x v="1"/>
    <x v="100"/>
    <x v="105"/>
    <x v="3"/>
  </r>
  <r>
    <x v="129"/>
    <x v="70"/>
    <x v="2"/>
    <x v="2"/>
    <x v="2"/>
    <x v="3"/>
    <x v="1"/>
    <x v="0"/>
    <x v="7"/>
    <x v="2"/>
    <x v="31"/>
    <x v="31"/>
    <x v="3"/>
  </r>
  <r>
    <x v="40"/>
    <x v="71"/>
    <x v="19"/>
    <x v="2"/>
    <x v="2"/>
    <x v="10"/>
    <x v="4"/>
    <x v="3"/>
    <x v="0"/>
    <x v="0"/>
    <x v="11"/>
    <x v="11"/>
    <x v="0"/>
  </r>
  <r>
    <x v="83"/>
    <x v="72"/>
    <x v="1"/>
    <x v="11"/>
    <x v="8"/>
    <x v="3"/>
    <x v="1"/>
    <x v="0"/>
    <x v="7"/>
    <x v="0"/>
    <x v="33"/>
    <x v="34"/>
    <x v="3"/>
  </r>
  <r>
    <x v="111"/>
    <x v="73"/>
    <x v="2"/>
    <x v="9"/>
    <x v="9"/>
    <x v="5"/>
    <x v="1"/>
    <x v="3"/>
    <x v="13"/>
    <x v="3"/>
    <x v="137"/>
    <x v="138"/>
    <x v="4"/>
  </r>
  <r>
    <x v="75"/>
    <x v="73"/>
    <x v="12"/>
    <x v="10"/>
    <x v="8"/>
    <x v="9"/>
    <x v="2"/>
    <x v="3"/>
    <x v="9"/>
    <x v="2"/>
    <x v="103"/>
    <x v="108"/>
    <x v="2"/>
  </r>
  <r>
    <x v="45"/>
    <x v="74"/>
    <x v="17"/>
    <x v="12"/>
    <x v="4"/>
    <x v="12"/>
    <x v="1"/>
    <x v="4"/>
    <x v="12"/>
    <x v="0"/>
    <x v="133"/>
    <x v="134"/>
    <x v="0"/>
  </r>
  <r>
    <x v="18"/>
    <x v="74"/>
    <x v="0"/>
    <x v="2"/>
    <x v="2"/>
    <x v="8"/>
    <x v="4"/>
    <x v="0"/>
    <x v="1"/>
    <x v="0"/>
    <x v="1"/>
    <x v="1"/>
    <x v="0"/>
  </r>
  <r>
    <x v="151"/>
    <x v="75"/>
    <x v="15"/>
    <x v="0"/>
    <x v="8"/>
    <x v="8"/>
    <x v="4"/>
    <x v="3"/>
    <x v="1"/>
    <x v="3"/>
    <x v="16"/>
    <x v="17"/>
    <x v="4"/>
  </r>
  <r>
    <x v="28"/>
    <x v="76"/>
    <x v="15"/>
    <x v="7"/>
    <x v="3"/>
    <x v="2"/>
    <x v="2"/>
    <x v="1"/>
    <x v="10"/>
    <x v="1"/>
    <x v="95"/>
    <x v="93"/>
    <x v="1"/>
  </r>
  <r>
    <x v="142"/>
    <x v="77"/>
    <x v="5"/>
    <x v="2"/>
    <x v="2"/>
    <x v="12"/>
    <x v="1"/>
    <x v="4"/>
    <x v="12"/>
    <x v="0"/>
    <x v="133"/>
    <x v="134"/>
    <x v="3"/>
  </r>
  <r>
    <x v="92"/>
    <x v="77"/>
    <x v="12"/>
    <x v="2"/>
    <x v="2"/>
    <x v="5"/>
    <x v="1"/>
    <x v="1"/>
    <x v="13"/>
    <x v="3"/>
    <x v="129"/>
    <x v="132"/>
    <x v="3"/>
  </r>
  <r>
    <x v="154"/>
    <x v="78"/>
    <x v="6"/>
    <x v="5"/>
    <x v="0"/>
    <x v="2"/>
    <x v="2"/>
    <x v="0"/>
    <x v="10"/>
    <x v="1"/>
    <x v="83"/>
    <x v="74"/>
    <x v="4"/>
  </r>
  <r>
    <x v="61"/>
    <x v="78"/>
    <x v="12"/>
    <x v="13"/>
    <x v="4"/>
    <x v="3"/>
    <x v="1"/>
    <x v="0"/>
    <x v="7"/>
    <x v="2"/>
    <x v="31"/>
    <x v="31"/>
    <x v="1"/>
  </r>
  <r>
    <x v="59"/>
    <x v="78"/>
    <x v="12"/>
    <x v="1"/>
    <x v="1"/>
    <x v="11"/>
    <x v="1"/>
    <x v="0"/>
    <x v="10"/>
    <x v="0"/>
    <x v="84"/>
    <x v="67"/>
    <x v="4"/>
  </r>
  <r>
    <x v="119"/>
    <x v="79"/>
    <x v="1"/>
    <x v="14"/>
    <x v="1"/>
    <x v="14"/>
    <x v="0"/>
    <x v="3"/>
    <x v="2"/>
    <x v="3"/>
    <x v="36"/>
    <x v="38"/>
    <x v="3"/>
  </r>
  <r>
    <x v="179"/>
    <x v="80"/>
    <x v="10"/>
    <x v="7"/>
    <x v="3"/>
    <x v="13"/>
    <x v="3"/>
    <x v="4"/>
    <x v="4"/>
    <x v="3"/>
    <x v="66"/>
    <x v="73"/>
    <x v="1"/>
  </r>
  <r>
    <x v="134"/>
    <x v="81"/>
    <x v="10"/>
    <x v="4"/>
    <x v="6"/>
    <x v="0"/>
    <x v="0"/>
    <x v="0"/>
    <x v="6"/>
    <x v="1"/>
    <x v="30"/>
    <x v="32"/>
    <x v="0"/>
  </r>
  <r>
    <x v="77"/>
    <x v="81"/>
    <x v="8"/>
    <x v="10"/>
    <x v="8"/>
    <x v="11"/>
    <x v="1"/>
    <x v="0"/>
    <x v="10"/>
    <x v="2"/>
    <x v="81"/>
    <x v="61"/>
    <x v="1"/>
  </r>
  <r>
    <x v="164"/>
    <x v="82"/>
    <x v="7"/>
    <x v="0"/>
    <x v="8"/>
    <x v="10"/>
    <x v="4"/>
    <x v="3"/>
    <x v="0"/>
    <x v="0"/>
    <x v="11"/>
    <x v="11"/>
    <x v="2"/>
  </r>
  <r>
    <x v="20"/>
    <x v="83"/>
    <x v="14"/>
    <x v="2"/>
    <x v="2"/>
    <x v="6"/>
    <x v="1"/>
    <x v="4"/>
    <x v="11"/>
    <x v="0"/>
    <x v="127"/>
    <x v="131"/>
    <x v="4"/>
  </r>
  <r>
    <x v="3"/>
    <x v="84"/>
    <x v="6"/>
    <x v="5"/>
    <x v="0"/>
    <x v="4"/>
    <x v="1"/>
    <x v="4"/>
    <x v="5"/>
    <x v="3"/>
    <x v="71"/>
    <x v="75"/>
    <x v="0"/>
  </r>
  <r>
    <x v="24"/>
    <x v="85"/>
    <x v="13"/>
    <x v="8"/>
    <x v="5"/>
    <x v="9"/>
    <x v="2"/>
    <x v="1"/>
    <x v="9"/>
    <x v="0"/>
    <x v="87"/>
    <x v="90"/>
    <x v="2"/>
  </r>
  <r>
    <x v="86"/>
    <x v="86"/>
    <x v="14"/>
    <x v="7"/>
    <x v="3"/>
    <x v="2"/>
    <x v="2"/>
    <x v="4"/>
    <x v="10"/>
    <x v="3"/>
    <x v="121"/>
    <x v="123"/>
    <x v="0"/>
  </r>
  <r>
    <x v="181"/>
    <x v="87"/>
    <x v="13"/>
    <x v="10"/>
    <x v="8"/>
    <x v="7"/>
    <x v="0"/>
    <x v="0"/>
    <x v="3"/>
    <x v="0"/>
    <x v="17"/>
    <x v="14"/>
    <x v="1"/>
  </r>
  <r>
    <x v="98"/>
    <x v="88"/>
    <x v="11"/>
    <x v="6"/>
    <x v="7"/>
    <x v="13"/>
    <x v="3"/>
    <x v="3"/>
    <x v="4"/>
    <x v="0"/>
    <x v="62"/>
    <x v="72"/>
    <x v="4"/>
  </r>
  <r>
    <x v="19"/>
    <x v="89"/>
    <x v="12"/>
    <x v="13"/>
    <x v="4"/>
    <x v="0"/>
    <x v="0"/>
    <x v="0"/>
    <x v="6"/>
    <x v="3"/>
    <x v="27"/>
    <x v="29"/>
    <x v="3"/>
  </r>
  <r>
    <x v="131"/>
    <x v="90"/>
    <x v="10"/>
    <x v="9"/>
    <x v="9"/>
    <x v="3"/>
    <x v="1"/>
    <x v="1"/>
    <x v="7"/>
    <x v="2"/>
    <x v="48"/>
    <x v="50"/>
    <x v="4"/>
  </r>
  <r>
    <x v="12"/>
    <x v="91"/>
    <x v="6"/>
    <x v="13"/>
    <x v="4"/>
    <x v="14"/>
    <x v="0"/>
    <x v="1"/>
    <x v="2"/>
    <x v="1"/>
    <x v="23"/>
    <x v="27"/>
    <x v="3"/>
  </r>
  <r>
    <x v="0"/>
    <x v="92"/>
    <x v="11"/>
    <x v="12"/>
    <x v="4"/>
    <x v="14"/>
    <x v="0"/>
    <x v="2"/>
    <x v="2"/>
    <x v="1"/>
    <x v="32"/>
    <x v="35"/>
    <x v="0"/>
  </r>
  <r>
    <x v="128"/>
    <x v="92"/>
    <x v="4"/>
    <x v="7"/>
    <x v="3"/>
    <x v="12"/>
    <x v="1"/>
    <x v="0"/>
    <x v="12"/>
    <x v="2"/>
    <x v="94"/>
    <x v="84"/>
    <x v="3"/>
  </r>
  <r>
    <x v="99"/>
    <x v="93"/>
    <x v="13"/>
    <x v="11"/>
    <x v="8"/>
    <x v="10"/>
    <x v="4"/>
    <x v="3"/>
    <x v="0"/>
    <x v="1"/>
    <x v="10"/>
    <x v="10"/>
    <x v="4"/>
  </r>
  <r>
    <x v="198"/>
    <x v="93"/>
    <x v="15"/>
    <x v="9"/>
    <x v="9"/>
    <x v="5"/>
    <x v="1"/>
    <x v="0"/>
    <x v="13"/>
    <x v="2"/>
    <x v="119"/>
    <x v="115"/>
    <x v="0"/>
  </r>
  <r>
    <x v="39"/>
    <x v="94"/>
    <x v="11"/>
    <x v="6"/>
    <x v="7"/>
    <x v="12"/>
    <x v="1"/>
    <x v="1"/>
    <x v="12"/>
    <x v="1"/>
    <x v="117"/>
    <x v="103"/>
    <x v="3"/>
  </r>
  <r>
    <x v="194"/>
    <x v="95"/>
    <x v="4"/>
    <x v="12"/>
    <x v="4"/>
    <x v="0"/>
    <x v="0"/>
    <x v="3"/>
    <x v="6"/>
    <x v="2"/>
    <x v="72"/>
    <x v="83"/>
    <x v="4"/>
  </r>
  <r>
    <x v="63"/>
    <x v="96"/>
    <x v="16"/>
    <x v="12"/>
    <x v="4"/>
    <x v="8"/>
    <x v="4"/>
    <x v="4"/>
    <x v="1"/>
    <x v="3"/>
    <x v="19"/>
    <x v="22"/>
    <x v="2"/>
  </r>
  <r>
    <x v="193"/>
    <x v="97"/>
    <x v="6"/>
    <x v="1"/>
    <x v="1"/>
    <x v="2"/>
    <x v="2"/>
    <x v="4"/>
    <x v="10"/>
    <x v="1"/>
    <x v="123"/>
    <x v="126"/>
    <x v="3"/>
  </r>
  <r>
    <x v="33"/>
    <x v="97"/>
    <x v="19"/>
    <x v="2"/>
    <x v="2"/>
    <x v="11"/>
    <x v="1"/>
    <x v="1"/>
    <x v="10"/>
    <x v="3"/>
    <x v="90"/>
    <x v="87"/>
    <x v="0"/>
  </r>
  <r>
    <x v="97"/>
    <x v="97"/>
    <x v="8"/>
    <x v="9"/>
    <x v="9"/>
    <x v="14"/>
    <x v="0"/>
    <x v="1"/>
    <x v="2"/>
    <x v="3"/>
    <x v="21"/>
    <x v="24"/>
    <x v="0"/>
  </r>
  <r>
    <x v="105"/>
    <x v="97"/>
    <x v="18"/>
    <x v="12"/>
    <x v="4"/>
    <x v="4"/>
    <x v="1"/>
    <x v="3"/>
    <x v="5"/>
    <x v="2"/>
    <x v="63"/>
    <x v="66"/>
    <x v="1"/>
  </r>
  <r>
    <x v="49"/>
    <x v="97"/>
    <x v="9"/>
    <x v="9"/>
    <x v="9"/>
    <x v="1"/>
    <x v="2"/>
    <x v="2"/>
    <x v="8"/>
    <x v="0"/>
    <x v="91"/>
    <x v="98"/>
    <x v="4"/>
  </r>
  <r>
    <x v="189"/>
    <x v="98"/>
    <x v="4"/>
    <x v="8"/>
    <x v="5"/>
    <x v="5"/>
    <x v="1"/>
    <x v="4"/>
    <x v="13"/>
    <x v="2"/>
    <x v="139"/>
    <x v="140"/>
    <x v="2"/>
  </r>
  <r>
    <x v="144"/>
    <x v="98"/>
    <x v="18"/>
    <x v="7"/>
    <x v="3"/>
    <x v="0"/>
    <x v="0"/>
    <x v="0"/>
    <x v="6"/>
    <x v="2"/>
    <x v="28"/>
    <x v="30"/>
    <x v="2"/>
  </r>
  <r>
    <x v="21"/>
    <x v="99"/>
    <x v="6"/>
    <x v="3"/>
    <x v="3"/>
    <x v="8"/>
    <x v="4"/>
    <x v="2"/>
    <x v="1"/>
    <x v="2"/>
    <x v="8"/>
    <x v="12"/>
    <x v="4"/>
  </r>
  <r>
    <x v="56"/>
    <x v="100"/>
    <x v="3"/>
    <x v="9"/>
    <x v="9"/>
    <x v="11"/>
    <x v="1"/>
    <x v="3"/>
    <x v="10"/>
    <x v="2"/>
    <x v="115"/>
    <x v="109"/>
    <x v="4"/>
  </r>
  <r>
    <x v="138"/>
    <x v="100"/>
    <x v="3"/>
    <x v="8"/>
    <x v="5"/>
    <x v="8"/>
    <x v="4"/>
    <x v="4"/>
    <x v="1"/>
    <x v="1"/>
    <x v="20"/>
    <x v="26"/>
    <x v="3"/>
  </r>
  <r>
    <x v="195"/>
    <x v="101"/>
    <x v="19"/>
    <x v="0"/>
    <x v="8"/>
    <x v="1"/>
    <x v="2"/>
    <x v="3"/>
    <x v="8"/>
    <x v="1"/>
    <x v="100"/>
    <x v="105"/>
    <x v="1"/>
  </r>
  <r>
    <x v="176"/>
    <x v="101"/>
    <x v="5"/>
    <x v="10"/>
    <x v="8"/>
    <x v="10"/>
    <x v="4"/>
    <x v="2"/>
    <x v="0"/>
    <x v="1"/>
    <x v="6"/>
    <x v="6"/>
    <x v="3"/>
  </r>
  <r>
    <x v="91"/>
    <x v="102"/>
    <x v="19"/>
    <x v="13"/>
    <x v="4"/>
    <x v="12"/>
    <x v="1"/>
    <x v="3"/>
    <x v="12"/>
    <x v="3"/>
    <x v="128"/>
    <x v="125"/>
    <x v="1"/>
  </r>
  <r>
    <x v="42"/>
    <x v="103"/>
    <x v="6"/>
    <x v="1"/>
    <x v="1"/>
    <x v="7"/>
    <x v="0"/>
    <x v="3"/>
    <x v="3"/>
    <x v="1"/>
    <x v="41"/>
    <x v="45"/>
    <x v="0"/>
  </r>
  <r>
    <x v="109"/>
    <x v="103"/>
    <x v="9"/>
    <x v="14"/>
    <x v="1"/>
    <x v="10"/>
    <x v="4"/>
    <x v="4"/>
    <x v="0"/>
    <x v="0"/>
    <x v="17"/>
    <x v="16"/>
    <x v="2"/>
  </r>
  <r>
    <x v="125"/>
    <x v="104"/>
    <x v="14"/>
    <x v="4"/>
    <x v="6"/>
    <x v="0"/>
    <x v="0"/>
    <x v="2"/>
    <x v="6"/>
    <x v="0"/>
    <x v="64"/>
    <x v="77"/>
    <x v="0"/>
  </r>
  <r>
    <x v="7"/>
    <x v="105"/>
    <x v="6"/>
    <x v="2"/>
    <x v="2"/>
    <x v="12"/>
    <x v="1"/>
    <x v="3"/>
    <x v="12"/>
    <x v="0"/>
    <x v="131"/>
    <x v="130"/>
    <x v="2"/>
  </r>
  <r>
    <x v="113"/>
    <x v="106"/>
    <x v="3"/>
    <x v="6"/>
    <x v="7"/>
    <x v="0"/>
    <x v="0"/>
    <x v="4"/>
    <x v="6"/>
    <x v="3"/>
    <x v="77"/>
    <x v="88"/>
    <x v="3"/>
  </r>
  <r>
    <x v="143"/>
    <x v="107"/>
    <x v="15"/>
    <x v="0"/>
    <x v="8"/>
    <x v="6"/>
    <x v="1"/>
    <x v="0"/>
    <x v="11"/>
    <x v="0"/>
    <x v="86"/>
    <x v="81"/>
    <x v="0"/>
  </r>
  <r>
    <x v="124"/>
    <x v="108"/>
    <x v="17"/>
    <x v="6"/>
    <x v="7"/>
    <x v="4"/>
    <x v="1"/>
    <x v="1"/>
    <x v="5"/>
    <x v="3"/>
    <x v="39"/>
    <x v="36"/>
    <x v="1"/>
  </r>
  <r>
    <x v="122"/>
    <x v="108"/>
    <x v="2"/>
    <x v="6"/>
    <x v="7"/>
    <x v="9"/>
    <x v="2"/>
    <x v="3"/>
    <x v="9"/>
    <x v="2"/>
    <x v="103"/>
    <x v="108"/>
    <x v="1"/>
  </r>
  <r>
    <x v="87"/>
    <x v="108"/>
    <x v="4"/>
    <x v="7"/>
    <x v="3"/>
    <x v="1"/>
    <x v="2"/>
    <x v="2"/>
    <x v="8"/>
    <x v="1"/>
    <x v="89"/>
    <x v="96"/>
    <x v="1"/>
  </r>
  <r>
    <x v="95"/>
    <x v="109"/>
    <x v="6"/>
    <x v="1"/>
    <x v="1"/>
    <x v="8"/>
    <x v="4"/>
    <x v="4"/>
    <x v="1"/>
    <x v="1"/>
    <x v="20"/>
    <x v="26"/>
    <x v="3"/>
  </r>
  <r>
    <x v="64"/>
    <x v="109"/>
    <x v="1"/>
    <x v="13"/>
    <x v="4"/>
    <x v="10"/>
    <x v="4"/>
    <x v="1"/>
    <x v="0"/>
    <x v="1"/>
    <x v="2"/>
    <x v="2"/>
    <x v="3"/>
  </r>
  <r>
    <x v="27"/>
    <x v="110"/>
    <x v="13"/>
    <x v="6"/>
    <x v="7"/>
    <x v="3"/>
    <x v="1"/>
    <x v="3"/>
    <x v="7"/>
    <x v="1"/>
    <x v="78"/>
    <x v="86"/>
    <x v="1"/>
  </r>
  <r>
    <x v="101"/>
    <x v="110"/>
    <x v="8"/>
    <x v="3"/>
    <x v="3"/>
    <x v="6"/>
    <x v="1"/>
    <x v="3"/>
    <x v="11"/>
    <x v="2"/>
    <x v="120"/>
    <x v="122"/>
    <x v="4"/>
  </r>
  <r>
    <x v="23"/>
    <x v="111"/>
    <x v="14"/>
    <x v="13"/>
    <x v="4"/>
    <x v="13"/>
    <x v="3"/>
    <x v="0"/>
    <x v="4"/>
    <x v="2"/>
    <x v="22"/>
    <x v="19"/>
    <x v="2"/>
  </r>
  <r>
    <x v="88"/>
    <x v="112"/>
    <x v="14"/>
    <x v="14"/>
    <x v="1"/>
    <x v="1"/>
    <x v="2"/>
    <x v="1"/>
    <x v="8"/>
    <x v="2"/>
    <x v="85"/>
    <x v="85"/>
    <x v="3"/>
  </r>
  <r>
    <x v="158"/>
    <x v="113"/>
    <x v="12"/>
    <x v="14"/>
    <x v="1"/>
    <x v="9"/>
    <x v="2"/>
    <x v="4"/>
    <x v="9"/>
    <x v="2"/>
    <x v="111"/>
    <x v="119"/>
    <x v="4"/>
  </r>
  <r>
    <x v="69"/>
    <x v="113"/>
    <x v="16"/>
    <x v="10"/>
    <x v="8"/>
    <x v="7"/>
    <x v="0"/>
    <x v="4"/>
    <x v="3"/>
    <x v="3"/>
    <x v="43"/>
    <x v="55"/>
    <x v="2"/>
  </r>
  <r>
    <x v="180"/>
    <x v="114"/>
    <x v="1"/>
    <x v="14"/>
    <x v="1"/>
    <x v="0"/>
    <x v="0"/>
    <x v="2"/>
    <x v="6"/>
    <x v="1"/>
    <x v="59"/>
    <x v="76"/>
    <x v="0"/>
  </r>
  <r>
    <x v="103"/>
    <x v="115"/>
    <x v="10"/>
    <x v="9"/>
    <x v="9"/>
    <x v="8"/>
    <x v="4"/>
    <x v="0"/>
    <x v="1"/>
    <x v="1"/>
    <x v="0"/>
    <x v="0"/>
    <x v="0"/>
  </r>
  <r>
    <x v="34"/>
    <x v="116"/>
    <x v="12"/>
    <x v="2"/>
    <x v="2"/>
    <x v="4"/>
    <x v="1"/>
    <x v="0"/>
    <x v="5"/>
    <x v="0"/>
    <x v="26"/>
    <x v="23"/>
    <x v="3"/>
  </r>
  <r>
    <x v="110"/>
    <x v="116"/>
    <x v="16"/>
    <x v="5"/>
    <x v="0"/>
    <x v="11"/>
    <x v="1"/>
    <x v="3"/>
    <x v="10"/>
    <x v="2"/>
    <x v="115"/>
    <x v="109"/>
    <x v="4"/>
  </r>
  <r>
    <x v="182"/>
    <x v="117"/>
    <x v="10"/>
    <x v="2"/>
    <x v="2"/>
    <x v="0"/>
    <x v="0"/>
    <x v="2"/>
    <x v="6"/>
    <x v="1"/>
    <x v="59"/>
    <x v="76"/>
    <x v="4"/>
  </r>
  <r>
    <x v="120"/>
    <x v="118"/>
    <x v="0"/>
    <x v="5"/>
    <x v="0"/>
    <x v="6"/>
    <x v="1"/>
    <x v="1"/>
    <x v="11"/>
    <x v="3"/>
    <x v="97"/>
    <x v="95"/>
    <x v="0"/>
  </r>
  <r>
    <x v="117"/>
    <x v="119"/>
    <x v="2"/>
    <x v="10"/>
    <x v="8"/>
    <x v="6"/>
    <x v="1"/>
    <x v="4"/>
    <x v="11"/>
    <x v="2"/>
    <x v="125"/>
    <x v="128"/>
    <x v="2"/>
  </r>
  <r>
    <x v="53"/>
    <x v="120"/>
    <x v="14"/>
    <x v="9"/>
    <x v="9"/>
    <x v="5"/>
    <x v="1"/>
    <x v="4"/>
    <x v="13"/>
    <x v="2"/>
    <x v="139"/>
    <x v="140"/>
    <x v="4"/>
  </r>
  <r>
    <x v="14"/>
    <x v="121"/>
    <x v="2"/>
    <x v="5"/>
    <x v="0"/>
    <x v="2"/>
    <x v="2"/>
    <x v="2"/>
    <x v="10"/>
    <x v="0"/>
    <x v="108"/>
    <x v="109"/>
    <x v="0"/>
  </r>
  <r>
    <x v="150"/>
    <x v="122"/>
    <x v="6"/>
    <x v="5"/>
    <x v="0"/>
    <x v="1"/>
    <x v="2"/>
    <x v="3"/>
    <x v="8"/>
    <x v="0"/>
    <x v="101"/>
    <x v="107"/>
    <x v="0"/>
  </r>
  <r>
    <x v="156"/>
    <x v="123"/>
    <x v="4"/>
    <x v="2"/>
    <x v="2"/>
    <x v="4"/>
    <x v="1"/>
    <x v="3"/>
    <x v="5"/>
    <x v="1"/>
    <x v="67"/>
    <x v="69"/>
    <x v="3"/>
  </r>
  <r>
    <x v="104"/>
    <x v="124"/>
    <x v="15"/>
    <x v="5"/>
    <x v="0"/>
    <x v="3"/>
    <x v="1"/>
    <x v="1"/>
    <x v="7"/>
    <x v="1"/>
    <x v="51"/>
    <x v="54"/>
    <x v="3"/>
  </r>
  <r>
    <x v="177"/>
    <x v="125"/>
    <x v="7"/>
    <x v="2"/>
    <x v="2"/>
    <x v="4"/>
    <x v="1"/>
    <x v="3"/>
    <x v="5"/>
    <x v="2"/>
    <x v="63"/>
    <x v="66"/>
    <x v="2"/>
  </r>
  <r>
    <x v="167"/>
    <x v="125"/>
    <x v="6"/>
    <x v="0"/>
    <x v="8"/>
    <x v="2"/>
    <x v="2"/>
    <x v="2"/>
    <x v="10"/>
    <x v="3"/>
    <x v="103"/>
    <x v="102"/>
    <x v="2"/>
  </r>
  <r>
    <x v="162"/>
    <x v="126"/>
    <x v="12"/>
    <x v="14"/>
    <x v="1"/>
    <x v="5"/>
    <x v="1"/>
    <x v="2"/>
    <x v="13"/>
    <x v="3"/>
    <x v="134"/>
    <x v="135"/>
    <x v="3"/>
  </r>
  <r>
    <x v="10"/>
    <x v="127"/>
    <x v="8"/>
    <x v="12"/>
    <x v="4"/>
    <x v="6"/>
    <x v="1"/>
    <x v="3"/>
    <x v="11"/>
    <x v="2"/>
    <x v="120"/>
    <x v="122"/>
    <x v="0"/>
  </r>
  <r>
    <x v="90"/>
    <x v="128"/>
    <x v="0"/>
    <x v="6"/>
    <x v="7"/>
    <x v="3"/>
    <x v="1"/>
    <x v="1"/>
    <x v="7"/>
    <x v="1"/>
    <x v="51"/>
    <x v="54"/>
    <x v="3"/>
  </r>
  <r>
    <x v="62"/>
    <x v="129"/>
    <x v="10"/>
    <x v="3"/>
    <x v="3"/>
    <x v="13"/>
    <x v="3"/>
    <x v="2"/>
    <x v="4"/>
    <x v="1"/>
    <x v="49"/>
    <x v="51"/>
    <x v="0"/>
  </r>
  <r>
    <x v="93"/>
    <x v="130"/>
    <x v="18"/>
    <x v="14"/>
    <x v="1"/>
    <x v="14"/>
    <x v="0"/>
    <x v="0"/>
    <x v="2"/>
    <x v="3"/>
    <x v="9"/>
    <x v="8"/>
    <x v="3"/>
  </r>
  <r>
    <x v="32"/>
    <x v="130"/>
    <x v="2"/>
    <x v="5"/>
    <x v="0"/>
    <x v="12"/>
    <x v="1"/>
    <x v="4"/>
    <x v="12"/>
    <x v="1"/>
    <x v="132"/>
    <x v="133"/>
    <x v="1"/>
  </r>
  <r>
    <x v="183"/>
    <x v="131"/>
    <x v="2"/>
    <x v="10"/>
    <x v="8"/>
    <x v="14"/>
    <x v="0"/>
    <x v="3"/>
    <x v="2"/>
    <x v="1"/>
    <x v="38"/>
    <x v="41"/>
    <x v="0"/>
  </r>
  <r>
    <x v="173"/>
    <x v="132"/>
    <x v="13"/>
    <x v="4"/>
    <x v="6"/>
    <x v="4"/>
    <x v="1"/>
    <x v="3"/>
    <x v="5"/>
    <x v="2"/>
    <x v="63"/>
    <x v="66"/>
    <x v="3"/>
  </r>
  <r>
    <x v="15"/>
    <x v="132"/>
    <x v="2"/>
    <x v="4"/>
    <x v="6"/>
    <x v="4"/>
    <x v="1"/>
    <x v="3"/>
    <x v="5"/>
    <x v="3"/>
    <x v="58"/>
    <x v="62"/>
    <x v="3"/>
  </r>
  <r>
    <x v="165"/>
    <x v="132"/>
    <x v="11"/>
    <x v="2"/>
    <x v="2"/>
    <x v="14"/>
    <x v="0"/>
    <x v="1"/>
    <x v="2"/>
    <x v="3"/>
    <x v="21"/>
    <x v="24"/>
    <x v="0"/>
  </r>
  <r>
    <x v="161"/>
    <x v="133"/>
    <x v="19"/>
    <x v="0"/>
    <x v="8"/>
    <x v="14"/>
    <x v="0"/>
    <x v="1"/>
    <x v="2"/>
    <x v="3"/>
    <x v="21"/>
    <x v="24"/>
    <x v="0"/>
  </r>
  <r>
    <x v="54"/>
    <x v="134"/>
    <x v="13"/>
    <x v="3"/>
    <x v="3"/>
    <x v="6"/>
    <x v="1"/>
    <x v="0"/>
    <x v="11"/>
    <x v="0"/>
    <x v="86"/>
    <x v="81"/>
    <x v="2"/>
  </r>
  <r>
    <x v="108"/>
    <x v="135"/>
    <x v="19"/>
    <x v="1"/>
    <x v="1"/>
    <x v="12"/>
    <x v="1"/>
    <x v="4"/>
    <x v="12"/>
    <x v="1"/>
    <x v="132"/>
    <x v="133"/>
    <x v="4"/>
  </r>
  <r>
    <x v="60"/>
    <x v="135"/>
    <x v="13"/>
    <x v="3"/>
    <x v="3"/>
    <x v="11"/>
    <x v="1"/>
    <x v="0"/>
    <x v="10"/>
    <x v="2"/>
    <x v="81"/>
    <x v="61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9:C25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dataFields count="1">
    <dataField name="Sum of Sales" fld="10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D18:E34" firstHeaderRow="1" firstDataRow="1" firstDataCol="1"/>
  <pivotFields count="13"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dataFields count="1">
    <dataField name="Sum of Sales" fld="10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32:H3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dataFields count="1">
    <dataField name="Sum of Sales" fld="10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6"/>
  </rowFields>
  <dataFields count="1">
    <dataField name="Sum of Sales" fld="10" subtotal="sum" numFmtId="166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M201" headerRowCount="1" totalsRowCount="0" totalsRowShown="0">
  <autoFilter ref="A1:M201"/>
  <tableColumns count="13">
    <tableColumn id="1" name="Order ID"/>
    <tableColumn id="2" name="Date"/>
    <tableColumn id="3" name="Customer"/>
    <tableColumn id="4" name="City"/>
    <tableColumn id="5" name="State"/>
    <tableColumn id="6" name="Product"/>
    <tableColumn id="7" name="Category"/>
    <tableColumn id="8" name="Quantity"/>
    <tableColumn id="9" name="Unit Price"/>
    <tableColumn id="10" name="Discount"/>
    <tableColumn id="11" name="Sales"/>
    <tableColumn id="12" name="Profit"/>
    <tableColumn id="13" name="Payment M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0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Q22" activeCellId="0" sqref="Q22"/>
    </sheetView>
  </sheetViews>
  <sheetFormatPr defaultColWidth="8.6796875" defaultRowHeight="15" zeroHeight="false" outlineLevelRow="0" outlineLevelCol="0"/>
  <cols>
    <col collapsed="false" customWidth="true" hidden="false" outlineLevel="0" max="30" min="1" style="0" width="9.51"/>
  </cols>
  <sheetData>
    <row r="1" customFormat="false" ht="24.45" hidden="false" customHeight="false" outlineLevel="0" collapsed="false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</sheetData>
  <mergeCells count="2">
    <mergeCell ref="B2:U3"/>
    <mergeCell ref="B4:U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21"/>
    <col collapsed="false" customWidth="true" hidden="false" outlineLevel="0" max="3" min="3" style="0" width="11.71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.85"/>
    <col collapsed="false" customWidth="true" hidden="false" outlineLevel="0" max="9" min="9" style="0" width="12"/>
    <col collapsed="false" customWidth="true" hidden="false" outlineLevel="0" max="10" min="10" style="0" width="10.85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6.71"/>
  </cols>
  <sheetData>
    <row r="1" customFormat="false" ht="15" hidden="false" customHeight="false" outlineLevel="0" collapsed="false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</row>
    <row r="2" customFormat="false" ht="15" hidden="false" customHeight="false" outlineLevel="0" collapsed="false">
      <c r="A2" s="0" t="s">
        <v>15</v>
      </c>
      <c r="B2" s="6" t="n">
        <v>46024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8" t="n">
        <v>4</v>
      </c>
      <c r="I2" s="8" t="n">
        <v>250</v>
      </c>
      <c r="J2" s="9" t="n">
        <v>0.15</v>
      </c>
      <c r="K2" s="8" t="n">
        <v>850</v>
      </c>
      <c r="L2" s="8" t="n">
        <v>255</v>
      </c>
      <c r="M2" s="7" t="s">
        <v>21</v>
      </c>
    </row>
    <row r="3" customFormat="false" ht="15" hidden="false" customHeight="false" outlineLevel="0" collapsed="false">
      <c r="A3" s="0" t="s">
        <v>22</v>
      </c>
      <c r="B3" s="6" t="n">
        <v>46025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8" t="n">
        <v>2</v>
      </c>
      <c r="I3" s="8" t="n">
        <v>25000</v>
      </c>
      <c r="J3" s="9" t="n">
        <v>0.15</v>
      </c>
      <c r="K3" s="8" t="n">
        <v>42500</v>
      </c>
      <c r="L3" s="8" t="n">
        <v>3400</v>
      </c>
      <c r="M3" s="7" t="s">
        <v>28</v>
      </c>
    </row>
    <row r="4" customFormat="false" ht="15" hidden="false" customHeight="false" outlineLevel="0" collapsed="false">
      <c r="A4" s="0" t="s">
        <v>29</v>
      </c>
      <c r="B4" s="6" t="n">
        <v>46029</v>
      </c>
      <c r="C4" s="7" t="s">
        <v>23</v>
      </c>
      <c r="D4" s="7" t="s">
        <v>30</v>
      </c>
      <c r="E4" s="7" t="s">
        <v>31</v>
      </c>
      <c r="F4" s="7" t="s">
        <v>32</v>
      </c>
      <c r="G4" s="7" t="s">
        <v>33</v>
      </c>
      <c r="H4" s="8" t="n">
        <v>3</v>
      </c>
      <c r="I4" s="8" t="n">
        <v>12000</v>
      </c>
      <c r="J4" s="9" t="n">
        <v>0.1</v>
      </c>
      <c r="K4" s="8" t="n">
        <v>32400</v>
      </c>
      <c r="L4" s="8" t="n">
        <v>3888</v>
      </c>
      <c r="M4" s="7" t="s">
        <v>34</v>
      </c>
    </row>
    <row r="5" customFormat="false" ht="15" hidden="false" customHeight="false" outlineLevel="0" collapsed="false">
      <c r="A5" s="0" t="s">
        <v>35</v>
      </c>
      <c r="B5" s="6" t="n">
        <v>46029</v>
      </c>
      <c r="C5" s="7" t="s">
        <v>36</v>
      </c>
      <c r="D5" s="7" t="s">
        <v>37</v>
      </c>
      <c r="E5" s="7" t="s">
        <v>38</v>
      </c>
      <c r="F5" s="7" t="s">
        <v>19</v>
      </c>
      <c r="G5" s="7" t="s">
        <v>20</v>
      </c>
      <c r="H5" s="8" t="n">
        <v>4</v>
      </c>
      <c r="I5" s="8" t="n">
        <v>250</v>
      </c>
      <c r="J5" s="9" t="n">
        <v>0.05</v>
      </c>
      <c r="K5" s="8" t="n">
        <v>950</v>
      </c>
      <c r="L5" s="8" t="n">
        <v>285</v>
      </c>
      <c r="M5" s="7" t="s">
        <v>39</v>
      </c>
    </row>
    <row r="6" customFormat="false" ht="15" hidden="false" customHeight="false" outlineLevel="0" collapsed="false">
      <c r="A6" s="0" t="s">
        <v>40</v>
      </c>
      <c r="B6" s="6" t="n">
        <v>46030</v>
      </c>
      <c r="C6" s="7" t="s">
        <v>36</v>
      </c>
      <c r="D6" s="7" t="s">
        <v>41</v>
      </c>
      <c r="E6" s="7" t="s">
        <v>42</v>
      </c>
      <c r="F6" s="7" t="s">
        <v>43</v>
      </c>
      <c r="G6" s="7" t="s">
        <v>27</v>
      </c>
      <c r="H6" s="8" t="n">
        <v>4</v>
      </c>
      <c r="I6" s="8" t="n">
        <v>2500</v>
      </c>
      <c r="J6" s="9" t="n">
        <v>0.05</v>
      </c>
      <c r="K6" s="8" t="n">
        <v>9500</v>
      </c>
      <c r="L6" s="8" t="n">
        <v>1900</v>
      </c>
      <c r="M6" s="7" t="s">
        <v>39</v>
      </c>
    </row>
    <row r="7" customFormat="false" ht="15" hidden="false" customHeight="false" outlineLevel="0" collapsed="false">
      <c r="A7" s="0" t="s">
        <v>44</v>
      </c>
      <c r="B7" s="6" t="n">
        <v>46031</v>
      </c>
      <c r="C7" s="7" t="s">
        <v>16</v>
      </c>
      <c r="D7" s="7" t="s">
        <v>45</v>
      </c>
      <c r="E7" s="7" t="s">
        <v>46</v>
      </c>
      <c r="F7" s="7" t="s">
        <v>47</v>
      </c>
      <c r="G7" s="7" t="s">
        <v>48</v>
      </c>
      <c r="H7" s="8" t="n">
        <v>3</v>
      </c>
      <c r="I7" s="8" t="n">
        <v>800</v>
      </c>
      <c r="J7" s="9" t="n">
        <v>0.15</v>
      </c>
      <c r="K7" s="8" t="n">
        <v>2040</v>
      </c>
      <c r="L7" s="8" t="n">
        <v>489.6</v>
      </c>
      <c r="M7" s="7" t="s">
        <v>34</v>
      </c>
    </row>
    <row r="8" customFormat="false" ht="15" hidden="false" customHeight="false" outlineLevel="0" collapsed="false">
      <c r="A8" s="0" t="s">
        <v>49</v>
      </c>
      <c r="B8" s="6" t="n">
        <v>46032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27</v>
      </c>
      <c r="H8" s="8" t="n">
        <v>3</v>
      </c>
      <c r="I8" s="8" t="n">
        <v>1800</v>
      </c>
      <c r="J8" s="9" t="n">
        <v>0.05</v>
      </c>
      <c r="K8" s="8" t="n">
        <v>5130</v>
      </c>
      <c r="L8" s="8" t="n">
        <v>923.4</v>
      </c>
      <c r="M8" s="7" t="s">
        <v>34</v>
      </c>
    </row>
    <row r="9" customFormat="false" ht="15" hidden="false" customHeight="false" outlineLevel="0" collapsed="false">
      <c r="A9" s="0" t="s">
        <v>54</v>
      </c>
      <c r="B9" s="6" t="n">
        <v>46033</v>
      </c>
      <c r="C9" s="7" t="s">
        <v>55</v>
      </c>
      <c r="D9" s="7" t="s">
        <v>56</v>
      </c>
      <c r="E9" s="7" t="s">
        <v>57</v>
      </c>
      <c r="F9" s="7" t="s">
        <v>58</v>
      </c>
      <c r="G9" s="7" t="s">
        <v>33</v>
      </c>
      <c r="H9" s="8" t="n">
        <v>5</v>
      </c>
      <c r="I9" s="8" t="n">
        <v>7000</v>
      </c>
      <c r="J9" s="9" t="n">
        <v>0.15</v>
      </c>
      <c r="K9" s="8" t="n">
        <v>29750</v>
      </c>
      <c r="L9" s="8" t="n">
        <v>4462.5</v>
      </c>
      <c r="M9" s="7" t="s">
        <v>39</v>
      </c>
    </row>
    <row r="10" customFormat="false" ht="15" hidden="false" customHeight="false" outlineLevel="0" collapsed="false">
      <c r="A10" s="0" t="s">
        <v>59</v>
      </c>
      <c r="B10" s="6" t="n">
        <v>46034</v>
      </c>
      <c r="C10" s="7" t="s">
        <v>60</v>
      </c>
      <c r="D10" s="7" t="s">
        <v>61</v>
      </c>
      <c r="E10" s="7" t="s">
        <v>57</v>
      </c>
      <c r="F10" s="7" t="s">
        <v>62</v>
      </c>
      <c r="G10" s="7" t="s">
        <v>27</v>
      </c>
      <c r="H10" s="8" t="n">
        <v>5</v>
      </c>
      <c r="I10" s="8" t="n">
        <v>55000</v>
      </c>
      <c r="J10" s="9" t="n">
        <v>0.05</v>
      </c>
      <c r="K10" s="8" t="n">
        <v>261250</v>
      </c>
      <c r="L10" s="8" t="n">
        <v>26125</v>
      </c>
      <c r="M10" s="7" t="s">
        <v>39</v>
      </c>
    </row>
    <row r="11" customFormat="false" ht="15" hidden="false" customHeight="false" outlineLevel="0" collapsed="false">
      <c r="A11" s="0" t="s">
        <v>63</v>
      </c>
      <c r="B11" s="6" t="n">
        <v>46034</v>
      </c>
      <c r="C11" s="7" t="s">
        <v>64</v>
      </c>
      <c r="D11" s="7" t="s">
        <v>17</v>
      </c>
      <c r="E11" s="7" t="s">
        <v>18</v>
      </c>
      <c r="F11" s="7" t="s">
        <v>65</v>
      </c>
      <c r="G11" s="7" t="s">
        <v>27</v>
      </c>
      <c r="H11" s="8" t="n">
        <v>3</v>
      </c>
      <c r="I11" s="8" t="n">
        <v>14000</v>
      </c>
      <c r="J11" s="9" t="n">
        <v>0.1</v>
      </c>
      <c r="K11" s="8" t="n">
        <v>37800</v>
      </c>
      <c r="L11" s="8" t="n">
        <v>4536</v>
      </c>
      <c r="M11" s="7" t="s">
        <v>28</v>
      </c>
    </row>
    <row r="12" customFormat="false" ht="15" hidden="false" customHeight="false" outlineLevel="0" collapsed="false">
      <c r="A12" s="0" t="s">
        <v>66</v>
      </c>
      <c r="B12" s="6" t="n">
        <v>46034</v>
      </c>
      <c r="C12" s="7" t="s">
        <v>67</v>
      </c>
      <c r="D12" s="7" t="s">
        <v>30</v>
      </c>
      <c r="E12" s="7" t="s">
        <v>31</v>
      </c>
      <c r="F12" s="7" t="s">
        <v>19</v>
      </c>
      <c r="G12" s="7" t="s">
        <v>20</v>
      </c>
      <c r="H12" s="8" t="n">
        <v>3</v>
      </c>
      <c r="I12" s="8" t="n">
        <v>250</v>
      </c>
      <c r="J12" s="9" t="n">
        <v>0</v>
      </c>
      <c r="K12" s="8" t="n">
        <v>750</v>
      </c>
      <c r="L12" s="8" t="n">
        <v>225</v>
      </c>
      <c r="M12" s="7" t="s">
        <v>68</v>
      </c>
    </row>
    <row r="13" customFormat="false" ht="15" hidden="false" customHeight="false" outlineLevel="0" collapsed="false">
      <c r="A13" s="0" t="s">
        <v>69</v>
      </c>
      <c r="B13" s="6" t="n">
        <v>46037</v>
      </c>
      <c r="C13" s="7" t="s">
        <v>70</v>
      </c>
      <c r="D13" s="7" t="s">
        <v>71</v>
      </c>
      <c r="E13" s="7" t="s">
        <v>71</v>
      </c>
      <c r="F13" s="7" t="s">
        <v>58</v>
      </c>
      <c r="G13" s="7" t="s">
        <v>33</v>
      </c>
      <c r="H13" s="8" t="n">
        <v>5</v>
      </c>
      <c r="I13" s="8" t="n">
        <v>7000</v>
      </c>
      <c r="J13" s="9" t="n">
        <v>0.05</v>
      </c>
      <c r="K13" s="8" t="n">
        <v>33250</v>
      </c>
      <c r="L13" s="8" t="n">
        <v>4987.5</v>
      </c>
      <c r="M13" s="7" t="s">
        <v>34</v>
      </c>
    </row>
    <row r="14" customFormat="false" ht="15" hidden="false" customHeight="false" outlineLevel="0" collapsed="false">
      <c r="A14" s="0" t="s">
        <v>72</v>
      </c>
      <c r="B14" s="6" t="n">
        <v>46037</v>
      </c>
      <c r="C14" s="7" t="s">
        <v>70</v>
      </c>
      <c r="D14" s="7" t="s">
        <v>45</v>
      </c>
      <c r="E14" s="7" t="s">
        <v>46</v>
      </c>
      <c r="F14" s="7" t="s">
        <v>26</v>
      </c>
      <c r="G14" s="7" t="s">
        <v>27</v>
      </c>
      <c r="H14" s="8" t="n">
        <v>1</v>
      </c>
      <c r="I14" s="8" t="n">
        <v>25000</v>
      </c>
      <c r="J14" s="9" t="n">
        <v>0.15</v>
      </c>
      <c r="K14" s="8" t="n">
        <v>21250</v>
      </c>
      <c r="L14" s="8" t="n">
        <v>1700</v>
      </c>
      <c r="M14" s="7" t="s">
        <v>34</v>
      </c>
    </row>
    <row r="15" customFormat="false" ht="15" hidden="false" customHeight="false" outlineLevel="0" collapsed="false">
      <c r="A15" s="0" t="s">
        <v>73</v>
      </c>
      <c r="B15" s="6" t="n">
        <v>46041</v>
      </c>
      <c r="C15" s="7" t="s">
        <v>55</v>
      </c>
      <c r="D15" s="7" t="s">
        <v>71</v>
      </c>
      <c r="E15" s="7" t="s">
        <v>71</v>
      </c>
      <c r="F15" s="7" t="s">
        <v>19</v>
      </c>
      <c r="G15" s="7" t="s">
        <v>20</v>
      </c>
      <c r="H15" s="8" t="n">
        <v>3</v>
      </c>
      <c r="I15" s="8" t="n">
        <v>250</v>
      </c>
      <c r="J15" s="9" t="n">
        <v>0.1</v>
      </c>
      <c r="K15" s="8" t="n">
        <v>675</v>
      </c>
      <c r="L15" s="8" t="n">
        <v>202.5</v>
      </c>
      <c r="M15" s="7" t="s">
        <v>28</v>
      </c>
    </row>
    <row r="16" customFormat="false" ht="15" hidden="false" customHeight="false" outlineLevel="0" collapsed="false">
      <c r="A16" s="0" t="s">
        <v>74</v>
      </c>
      <c r="B16" s="6" t="n">
        <v>46042</v>
      </c>
      <c r="C16" s="7" t="s">
        <v>16</v>
      </c>
      <c r="D16" s="7" t="s">
        <v>61</v>
      </c>
      <c r="E16" s="7" t="s">
        <v>57</v>
      </c>
      <c r="F16" s="7" t="s">
        <v>53</v>
      </c>
      <c r="G16" s="7" t="s">
        <v>27</v>
      </c>
      <c r="H16" s="8" t="n">
        <v>3</v>
      </c>
      <c r="I16" s="8" t="n">
        <v>1800</v>
      </c>
      <c r="J16" s="9" t="n">
        <v>0.1</v>
      </c>
      <c r="K16" s="8" t="n">
        <v>4860</v>
      </c>
      <c r="L16" s="8" t="n">
        <v>874.8</v>
      </c>
      <c r="M16" s="7" t="s">
        <v>39</v>
      </c>
    </row>
    <row r="17" customFormat="false" ht="15" hidden="false" customHeight="false" outlineLevel="0" collapsed="false">
      <c r="A17" s="0" t="s">
        <v>75</v>
      </c>
      <c r="B17" s="6" t="n">
        <v>46042</v>
      </c>
      <c r="C17" s="7" t="s">
        <v>76</v>
      </c>
      <c r="D17" s="7" t="s">
        <v>37</v>
      </c>
      <c r="E17" s="7" t="s">
        <v>38</v>
      </c>
      <c r="F17" s="7" t="s">
        <v>32</v>
      </c>
      <c r="G17" s="7" t="s">
        <v>33</v>
      </c>
      <c r="H17" s="8" t="n">
        <v>4</v>
      </c>
      <c r="I17" s="8" t="n">
        <v>12000</v>
      </c>
      <c r="J17" s="9" t="n">
        <v>0.15</v>
      </c>
      <c r="K17" s="8" t="n">
        <v>40800</v>
      </c>
      <c r="L17" s="8" t="n">
        <v>4896</v>
      </c>
      <c r="M17" s="7" t="s">
        <v>39</v>
      </c>
    </row>
    <row r="18" customFormat="false" ht="15" hidden="false" customHeight="false" outlineLevel="0" collapsed="false">
      <c r="A18" s="0" t="s">
        <v>77</v>
      </c>
      <c r="B18" s="6" t="n">
        <v>46042</v>
      </c>
      <c r="C18" s="7" t="s">
        <v>78</v>
      </c>
      <c r="D18" s="7" t="s">
        <v>41</v>
      </c>
      <c r="E18" s="7" t="s">
        <v>42</v>
      </c>
      <c r="F18" s="7" t="s">
        <v>79</v>
      </c>
      <c r="G18" s="7" t="s">
        <v>33</v>
      </c>
      <c r="H18" s="8" t="n">
        <v>5</v>
      </c>
      <c r="I18" s="8" t="n">
        <v>8500</v>
      </c>
      <c r="J18" s="9" t="n">
        <v>0.15</v>
      </c>
      <c r="K18" s="8" t="n">
        <v>36125</v>
      </c>
      <c r="L18" s="8" t="n">
        <v>5057.5</v>
      </c>
      <c r="M18" s="7" t="s">
        <v>34</v>
      </c>
    </row>
    <row r="19" customFormat="false" ht="15" hidden="false" customHeight="false" outlineLevel="0" collapsed="false">
      <c r="A19" s="0" t="s">
        <v>80</v>
      </c>
      <c r="B19" s="6" t="n">
        <v>46043</v>
      </c>
      <c r="C19" s="7" t="s">
        <v>70</v>
      </c>
      <c r="D19" s="7" t="s">
        <v>81</v>
      </c>
      <c r="E19" s="7" t="s">
        <v>18</v>
      </c>
      <c r="F19" s="7" t="s">
        <v>82</v>
      </c>
      <c r="G19" s="7" t="s">
        <v>48</v>
      </c>
      <c r="H19" s="8" t="n">
        <v>5</v>
      </c>
      <c r="I19" s="8" t="n">
        <v>2200</v>
      </c>
      <c r="J19" s="9" t="n">
        <v>0.1</v>
      </c>
      <c r="K19" s="8" t="n">
        <v>9900</v>
      </c>
      <c r="L19" s="8" t="n">
        <v>2178</v>
      </c>
      <c r="M19" s="7" t="s">
        <v>39</v>
      </c>
    </row>
    <row r="20" customFormat="false" ht="15" hidden="false" customHeight="false" outlineLevel="0" collapsed="false">
      <c r="A20" s="0" t="s">
        <v>83</v>
      </c>
      <c r="B20" s="6" t="n">
        <v>46045</v>
      </c>
      <c r="C20" s="7" t="s">
        <v>78</v>
      </c>
      <c r="D20" s="7" t="s">
        <v>17</v>
      </c>
      <c r="E20" s="7" t="s">
        <v>18</v>
      </c>
      <c r="F20" s="7" t="s">
        <v>79</v>
      </c>
      <c r="G20" s="7" t="s">
        <v>33</v>
      </c>
      <c r="H20" s="8" t="n">
        <v>1</v>
      </c>
      <c r="I20" s="8" t="n">
        <v>8500</v>
      </c>
      <c r="J20" s="9" t="n">
        <v>0.15</v>
      </c>
      <c r="K20" s="8" t="n">
        <v>7225</v>
      </c>
      <c r="L20" s="8" t="n">
        <v>1011.5</v>
      </c>
      <c r="M20" s="7" t="s">
        <v>21</v>
      </c>
    </row>
    <row r="21" customFormat="false" ht="15" hidden="false" customHeight="false" outlineLevel="0" collapsed="false">
      <c r="A21" s="0" t="s">
        <v>84</v>
      </c>
      <c r="B21" s="6" t="n">
        <v>46046</v>
      </c>
      <c r="C21" s="7" t="s">
        <v>60</v>
      </c>
      <c r="D21" s="7" t="s">
        <v>30</v>
      </c>
      <c r="E21" s="7" t="s">
        <v>31</v>
      </c>
      <c r="F21" s="7" t="s">
        <v>85</v>
      </c>
      <c r="G21" s="7" t="s">
        <v>20</v>
      </c>
      <c r="H21" s="8" t="n">
        <v>3</v>
      </c>
      <c r="I21" s="8" t="n">
        <v>180</v>
      </c>
      <c r="J21" s="9" t="n">
        <v>0</v>
      </c>
      <c r="K21" s="8" t="n">
        <v>540</v>
      </c>
      <c r="L21" s="8" t="n">
        <v>151.2</v>
      </c>
      <c r="M21" s="7" t="s">
        <v>34</v>
      </c>
    </row>
    <row r="22" customFormat="false" ht="15" hidden="false" customHeight="false" outlineLevel="0" collapsed="false">
      <c r="A22" s="0" t="s">
        <v>86</v>
      </c>
      <c r="B22" s="6" t="n">
        <v>46047</v>
      </c>
      <c r="C22" s="7" t="s">
        <v>87</v>
      </c>
      <c r="D22" s="7" t="s">
        <v>45</v>
      </c>
      <c r="E22" s="7" t="s">
        <v>46</v>
      </c>
      <c r="F22" s="7" t="s">
        <v>43</v>
      </c>
      <c r="G22" s="7" t="s">
        <v>27</v>
      </c>
      <c r="H22" s="8" t="n">
        <v>4</v>
      </c>
      <c r="I22" s="8" t="n">
        <v>2500</v>
      </c>
      <c r="J22" s="9" t="n">
        <v>0.15</v>
      </c>
      <c r="K22" s="8" t="n">
        <v>8500</v>
      </c>
      <c r="L22" s="8" t="n">
        <v>1700</v>
      </c>
      <c r="M22" s="7" t="s">
        <v>39</v>
      </c>
    </row>
    <row r="23" customFormat="false" ht="15" hidden="false" customHeight="false" outlineLevel="0" collapsed="false">
      <c r="A23" s="0" t="s">
        <v>88</v>
      </c>
      <c r="B23" s="6" t="n">
        <v>46048</v>
      </c>
      <c r="C23" s="7" t="s">
        <v>89</v>
      </c>
      <c r="D23" s="7" t="s">
        <v>30</v>
      </c>
      <c r="E23" s="7" t="s">
        <v>31</v>
      </c>
      <c r="F23" s="7" t="s">
        <v>90</v>
      </c>
      <c r="G23" s="7" t="s">
        <v>27</v>
      </c>
      <c r="H23" s="8" t="n">
        <v>3</v>
      </c>
      <c r="I23" s="8" t="n">
        <v>12000</v>
      </c>
      <c r="J23" s="9" t="n">
        <v>0</v>
      </c>
      <c r="K23" s="8" t="n">
        <v>36000</v>
      </c>
      <c r="L23" s="8" t="n">
        <v>3600</v>
      </c>
      <c r="M23" s="7" t="s">
        <v>28</v>
      </c>
    </row>
    <row r="24" customFormat="false" ht="15" hidden="false" customHeight="false" outlineLevel="0" collapsed="false">
      <c r="A24" s="0" t="s">
        <v>91</v>
      </c>
      <c r="B24" s="6" t="n">
        <v>46050</v>
      </c>
      <c r="C24" s="7" t="s">
        <v>76</v>
      </c>
      <c r="D24" s="7" t="s">
        <v>51</v>
      </c>
      <c r="E24" s="7" t="s">
        <v>52</v>
      </c>
      <c r="F24" s="7" t="s">
        <v>92</v>
      </c>
      <c r="G24" s="7" t="s">
        <v>93</v>
      </c>
      <c r="H24" s="8" t="n">
        <v>3</v>
      </c>
      <c r="I24" s="8" t="n">
        <v>1600</v>
      </c>
      <c r="J24" s="9" t="n">
        <v>0.15</v>
      </c>
      <c r="K24" s="8" t="n">
        <v>4080</v>
      </c>
      <c r="L24" s="8" t="n">
        <v>816</v>
      </c>
      <c r="M24" s="7" t="s">
        <v>28</v>
      </c>
    </row>
    <row r="25" customFormat="false" ht="15" hidden="false" customHeight="false" outlineLevel="0" collapsed="false">
      <c r="A25" s="0" t="s">
        <v>94</v>
      </c>
      <c r="B25" s="6" t="n">
        <v>46052</v>
      </c>
      <c r="C25" s="7" t="s">
        <v>64</v>
      </c>
      <c r="D25" s="7" t="s">
        <v>37</v>
      </c>
      <c r="E25" s="7" t="s">
        <v>38</v>
      </c>
      <c r="F25" s="7" t="s">
        <v>62</v>
      </c>
      <c r="G25" s="7" t="s">
        <v>27</v>
      </c>
      <c r="H25" s="8" t="n">
        <v>3</v>
      </c>
      <c r="I25" s="8" t="n">
        <v>55000</v>
      </c>
      <c r="J25" s="9" t="n">
        <v>0.15</v>
      </c>
      <c r="K25" s="8" t="n">
        <v>140250</v>
      </c>
      <c r="L25" s="8" t="n">
        <v>14025</v>
      </c>
      <c r="M25" s="7" t="s">
        <v>34</v>
      </c>
    </row>
    <row r="26" customFormat="false" ht="15" hidden="false" customHeight="false" outlineLevel="0" collapsed="false">
      <c r="A26" s="0" t="s">
        <v>95</v>
      </c>
      <c r="B26" s="6" t="n">
        <v>46052</v>
      </c>
      <c r="C26" s="7" t="s">
        <v>67</v>
      </c>
      <c r="D26" s="7" t="s">
        <v>24</v>
      </c>
      <c r="E26" s="7" t="s">
        <v>25</v>
      </c>
      <c r="F26" s="7" t="s">
        <v>96</v>
      </c>
      <c r="G26" s="7" t="s">
        <v>48</v>
      </c>
      <c r="H26" s="8" t="n">
        <v>2</v>
      </c>
      <c r="I26" s="8" t="n">
        <v>900</v>
      </c>
      <c r="J26" s="9" t="n">
        <v>0.1</v>
      </c>
      <c r="K26" s="8" t="n">
        <v>1620</v>
      </c>
      <c r="L26" s="8" t="n">
        <v>405</v>
      </c>
      <c r="M26" s="7" t="s">
        <v>68</v>
      </c>
    </row>
    <row r="27" customFormat="false" ht="15" hidden="false" customHeight="false" outlineLevel="0" collapsed="false">
      <c r="A27" s="0" t="s">
        <v>97</v>
      </c>
      <c r="B27" s="6" t="n">
        <v>46052</v>
      </c>
      <c r="C27" s="7" t="s">
        <v>50</v>
      </c>
      <c r="D27" s="7" t="s">
        <v>98</v>
      </c>
      <c r="E27" s="7" t="s">
        <v>99</v>
      </c>
      <c r="F27" s="7" t="s">
        <v>32</v>
      </c>
      <c r="G27" s="7" t="s">
        <v>33</v>
      </c>
      <c r="H27" s="8" t="n">
        <v>4</v>
      </c>
      <c r="I27" s="8" t="n">
        <v>12000</v>
      </c>
      <c r="J27" s="9" t="n">
        <v>0</v>
      </c>
      <c r="K27" s="8" t="n">
        <v>48000</v>
      </c>
      <c r="L27" s="8" t="n">
        <v>5760</v>
      </c>
      <c r="M27" s="7" t="s">
        <v>21</v>
      </c>
    </row>
    <row r="28" customFormat="false" ht="15" hidden="false" customHeight="false" outlineLevel="0" collapsed="false">
      <c r="A28" s="0" t="s">
        <v>100</v>
      </c>
      <c r="B28" s="6" t="n">
        <v>46054</v>
      </c>
      <c r="C28" s="7" t="s">
        <v>101</v>
      </c>
      <c r="D28" s="7" t="s">
        <v>71</v>
      </c>
      <c r="E28" s="7" t="s">
        <v>71</v>
      </c>
      <c r="F28" s="7" t="s">
        <v>19</v>
      </c>
      <c r="G28" s="7" t="s">
        <v>20</v>
      </c>
      <c r="H28" s="8" t="n">
        <v>2</v>
      </c>
      <c r="I28" s="8" t="n">
        <v>250</v>
      </c>
      <c r="J28" s="9" t="n">
        <v>0.05</v>
      </c>
      <c r="K28" s="8" t="n">
        <v>475</v>
      </c>
      <c r="L28" s="8" t="n">
        <v>142.5</v>
      </c>
      <c r="M28" s="7" t="s">
        <v>39</v>
      </c>
    </row>
    <row r="29" customFormat="false" ht="15" hidden="false" customHeight="false" outlineLevel="0" collapsed="false">
      <c r="A29" s="0" t="s">
        <v>102</v>
      </c>
      <c r="B29" s="6" t="n">
        <v>46054</v>
      </c>
      <c r="C29" s="7" t="s">
        <v>16</v>
      </c>
      <c r="D29" s="7" t="s">
        <v>41</v>
      </c>
      <c r="E29" s="7" t="s">
        <v>42</v>
      </c>
      <c r="F29" s="7" t="s">
        <v>47</v>
      </c>
      <c r="G29" s="7" t="s">
        <v>48</v>
      </c>
      <c r="H29" s="8" t="n">
        <v>4</v>
      </c>
      <c r="I29" s="8" t="n">
        <v>800</v>
      </c>
      <c r="J29" s="9" t="n">
        <v>0.1</v>
      </c>
      <c r="K29" s="8" t="n">
        <v>2880</v>
      </c>
      <c r="L29" s="8" t="n">
        <v>691.2</v>
      </c>
      <c r="M29" s="7" t="s">
        <v>21</v>
      </c>
    </row>
    <row r="30" customFormat="false" ht="15" hidden="false" customHeight="false" outlineLevel="0" collapsed="false">
      <c r="A30" s="0" t="s">
        <v>103</v>
      </c>
      <c r="B30" s="6" t="n">
        <v>46055</v>
      </c>
      <c r="C30" s="7" t="s">
        <v>64</v>
      </c>
      <c r="D30" s="7" t="s">
        <v>104</v>
      </c>
      <c r="E30" s="7" t="s">
        <v>18</v>
      </c>
      <c r="F30" s="7" t="s">
        <v>62</v>
      </c>
      <c r="G30" s="7" t="s">
        <v>27</v>
      </c>
      <c r="H30" s="8" t="n">
        <v>5</v>
      </c>
      <c r="I30" s="8" t="n">
        <v>55000</v>
      </c>
      <c r="J30" s="9" t="n">
        <v>0.1</v>
      </c>
      <c r="K30" s="8" t="n">
        <v>247500</v>
      </c>
      <c r="L30" s="8" t="n">
        <v>24750</v>
      </c>
      <c r="M30" s="7" t="s">
        <v>68</v>
      </c>
    </row>
    <row r="31" customFormat="false" ht="15" hidden="false" customHeight="false" outlineLevel="0" collapsed="false">
      <c r="A31" s="0" t="s">
        <v>105</v>
      </c>
      <c r="B31" s="6" t="n">
        <v>46055</v>
      </c>
      <c r="C31" s="7" t="s">
        <v>60</v>
      </c>
      <c r="D31" s="7" t="s">
        <v>45</v>
      </c>
      <c r="E31" s="7" t="s">
        <v>46</v>
      </c>
      <c r="F31" s="7" t="s">
        <v>96</v>
      </c>
      <c r="G31" s="7" t="s">
        <v>48</v>
      </c>
      <c r="H31" s="8" t="n">
        <v>4</v>
      </c>
      <c r="I31" s="8" t="n">
        <v>900</v>
      </c>
      <c r="J31" s="9" t="n">
        <v>0.05</v>
      </c>
      <c r="K31" s="8" t="n">
        <v>3420</v>
      </c>
      <c r="L31" s="8" t="n">
        <v>855</v>
      </c>
      <c r="M31" s="7" t="s">
        <v>21</v>
      </c>
    </row>
    <row r="32" customFormat="false" ht="15" hidden="false" customHeight="false" outlineLevel="0" collapsed="false">
      <c r="A32" s="0" t="s">
        <v>106</v>
      </c>
      <c r="B32" s="6" t="n">
        <v>46055</v>
      </c>
      <c r="C32" s="7" t="s">
        <v>70</v>
      </c>
      <c r="D32" s="7" t="s">
        <v>56</v>
      </c>
      <c r="E32" s="7" t="s">
        <v>57</v>
      </c>
      <c r="F32" s="7" t="s">
        <v>53</v>
      </c>
      <c r="G32" s="7" t="s">
        <v>27</v>
      </c>
      <c r="H32" s="8" t="n">
        <v>1</v>
      </c>
      <c r="I32" s="8" t="n">
        <v>1800</v>
      </c>
      <c r="J32" s="9" t="n">
        <v>0.05</v>
      </c>
      <c r="K32" s="8" t="n">
        <v>1710</v>
      </c>
      <c r="L32" s="8" t="n">
        <v>307.8</v>
      </c>
      <c r="M32" s="7" t="s">
        <v>21</v>
      </c>
    </row>
    <row r="33" customFormat="false" ht="15" hidden="false" customHeight="false" outlineLevel="0" collapsed="false">
      <c r="A33" s="0" t="s">
        <v>107</v>
      </c>
      <c r="B33" s="6" t="n">
        <v>46056</v>
      </c>
      <c r="C33" s="7" t="s">
        <v>87</v>
      </c>
      <c r="D33" s="7" t="s">
        <v>56</v>
      </c>
      <c r="E33" s="7" t="s">
        <v>57</v>
      </c>
      <c r="F33" s="7" t="s">
        <v>92</v>
      </c>
      <c r="G33" s="7" t="s">
        <v>93</v>
      </c>
      <c r="H33" s="8" t="n">
        <v>3</v>
      </c>
      <c r="I33" s="8" t="n">
        <v>1600</v>
      </c>
      <c r="J33" s="9" t="n">
        <v>0.1</v>
      </c>
      <c r="K33" s="8" t="n">
        <v>4320</v>
      </c>
      <c r="L33" s="8" t="n">
        <v>864</v>
      </c>
      <c r="M33" s="7" t="s">
        <v>68</v>
      </c>
    </row>
    <row r="34" customFormat="false" ht="15" hidden="false" customHeight="false" outlineLevel="0" collapsed="false">
      <c r="A34" s="0" t="s">
        <v>108</v>
      </c>
      <c r="B34" s="6" t="n">
        <v>46058</v>
      </c>
      <c r="C34" s="7" t="s">
        <v>109</v>
      </c>
      <c r="D34" s="7" t="s">
        <v>61</v>
      </c>
      <c r="E34" s="7" t="s">
        <v>57</v>
      </c>
      <c r="F34" s="7" t="s">
        <v>96</v>
      </c>
      <c r="G34" s="7" t="s">
        <v>48</v>
      </c>
      <c r="H34" s="8" t="n">
        <v>5</v>
      </c>
      <c r="I34" s="8" t="n">
        <v>900</v>
      </c>
      <c r="J34" s="9" t="n">
        <v>0</v>
      </c>
      <c r="K34" s="8" t="n">
        <v>4500</v>
      </c>
      <c r="L34" s="8" t="n">
        <v>1125</v>
      </c>
      <c r="M34" s="7" t="s">
        <v>21</v>
      </c>
    </row>
    <row r="35" customFormat="false" ht="15" hidden="false" customHeight="false" outlineLevel="0" collapsed="false">
      <c r="A35" s="0" t="s">
        <v>110</v>
      </c>
      <c r="B35" s="6" t="n">
        <v>46059</v>
      </c>
      <c r="C35" s="7" t="s">
        <v>111</v>
      </c>
      <c r="D35" s="7" t="s">
        <v>104</v>
      </c>
      <c r="E35" s="7" t="s">
        <v>18</v>
      </c>
      <c r="F35" s="7" t="s">
        <v>53</v>
      </c>
      <c r="G35" s="7" t="s">
        <v>27</v>
      </c>
      <c r="H35" s="8" t="n">
        <v>5</v>
      </c>
      <c r="I35" s="8" t="n">
        <v>1800</v>
      </c>
      <c r="J35" s="9" t="n">
        <v>0.1</v>
      </c>
      <c r="K35" s="8" t="n">
        <v>8100</v>
      </c>
      <c r="L35" s="8" t="n">
        <v>1458</v>
      </c>
      <c r="M35" s="7" t="s">
        <v>21</v>
      </c>
    </row>
    <row r="36" customFormat="false" ht="15" hidden="false" customHeight="false" outlineLevel="0" collapsed="false">
      <c r="A36" s="0" t="s">
        <v>112</v>
      </c>
      <c r="B36" s="6" t="n">
        <v>46060</v>
      </c>
      <c r="C36" s="7" t="s">
        <v>113</v>
      </c>
      <c r="D36" s="7" t="s">
        <v>45</v>
      </c>
      <c r="E36" s="7" t="s">
        <v>46</v>
      </c>
      <c r="F36" s="7" t="s">
        <v>32</v>
      </c>
      <c r="G36" s="7" t="s">
        <v>33</v>
      </c>
      <c r="H36" s="8" t="n">
        <v>5</v>
      </c>
      <c r="I36" s="8" t="n">
        <v>12000</v>
      </c>
      <c r="J36" s="9" t="n">
        <v>0.05</v>
      </c>
      <c r="K36" s="8" t="n">
        <v>57000</v>
      </c>
      <c r="L36" s="8" t="n">
        <v>6840</v>
      </c>
      <c r="M36" s="7" t="s">
        <v>68</v>
      </c>
    </row>
    <row r="37" customFormat="false" ht="15" hidden="false" customHeight="false" outlineLevel="0" collapsed="false">
      <c r="A37" s="0" t="s">
        <v>114</v>
      </c>
      <c r="B37" s="6" t="n">
        <v>46062</v>
      </c>
      <c r="C37" s="7" t="s">
        <v>16</v>
      </c>
      <c r="D37" s="7" t="s">
        <v>104</v>
      </c>
      <c r="E37" s="7" t="s">
        <v>18</v>
      </c>
      <c r="F37" s="7" t="s">
        <v>82</v>
      </c>
      <c r="G37" s="7" t="s">
        <v>48</v>
      </c>
      <c r="H37" s="8" t="n">
        <v>2</v>
      </c>
      <c r="I37" s="8" t="n">
        <v>2200</v>
      </c>
      <c r="J37" s="9" t="n">
        <v>0.1</v>
      </c>
      <c r="K37" s="8" t="n">
        <v>3960</v>
      </c>
      <c r="L37" s="8" t="n">
        <v>871.2</v>
      </c>
      <c r="M37" s="7" t="s">
        <v>68</v>
      </c>
    </row>
    <row r="38" customFormat="false" ht="15" hidden="false" customHeight="false" outlineLevel="0" collapsed="false">
      <c r="A38" s="0" t="s">
        <v>115</v>
      </c>
      <c r="B38" s="6" t="n">
        <v>46063</v>
      </c>
      <c r="C38" s="7" t="s">
        <v>109</v>
      </c>
      <c r="D38" s="7" t="s">
        <v>56</v>
      </c>
      <c r="E38" s="7" t="s">
        <v>57</v>
      </c>
      <c r="F38" s="7" t="s">
        <v>32</v>
      </c>
      <c r="G38" s="7" t="s">
        <v>33</v>
      </c>
      <c r="H38" s="8" t="n">
        <v>1</v>
      </c>
      <c r="I38" s="8" t="n">
        <v>12000</v>
      </c>
      <c r="J38" s="9" t="n">
        <v>0.15</v>
      </c>
      <c r="K38" s="8" t="n">
        <v>10200</v>
      </c>
      <c r="L38" s="8" t="n">
        <v>1224</v>
      </c>
      <c r="M38" s="7" t="s">
        <v>68</v>
      </c>
    </row>
    <row r="39" customFormat="false" ht="15" hidden="false" customHeight="false" outlineLevel="0" collapsed="false">
      <c r="A39" s="0" t="s">
        <v>116</v>
      </c>
      <c r="B39" s="6" t="n">
        <v>46063</v>
      </c>
      <c r="C39" s="7" t="s">
        <v>117</v>
      </c>
      <c r="D39" s="7" t="s">
        <v>118</v>
      </c>
      <c r="E39" s="7" t="s">
        <v>38</v>
      </c>
      <c r="F39" s="7" t="s">
        <v>79</v>
      </c>
      <c r="G39" s="7" t="s">
        <v>33</v>
      </c>
      <c r="H39" s="8" t="n">
        <v>5</v>
      </c>
      <c r="I39" s="8" t="n">
        <v>8500</v>
      </c>
      <c r="J39" s="9" t="n">
        <v>0.1</v>
      </c>
      <c r="K39" s="8" t="n">
        <v>38250</v>
      </c>
      <c r="L39" s="8" t="n">
        <v>5355</v>
      </c>
      <c r="M39" s="7" t="s">
        <v>28</v>
      </c>
    </row>
    <row r="40" customFormat="false" ht="15" hidden="false" customHeight="false" outlineLevel="0" collapsed="false">
      <c r="A40" s="0" t="s">
        <v>119</v>
      </c>
      <c r="B40" s="6" t="n">
        <v>46065</v>
      </c>
      <c r="C40" s="7" t="s">
        <v>101</v>
      </c>
      <c r="D40" s="7" t="s">
        <v>51</v>
      </c>
      <c r="E40" s="7" t="s">
        <v>52</v>
      </c>
      <c r="F40" s="7" t="s">
        <v>47</v>
      </c>
      <c r="G40" s="7" t="s">
        <v>48</v>
      </c>
      <c r="H40" s="8" t="n">
        <v>1</v>
      </c>
      <c r="I40" s="8" t="n">
        <v>800</v>
      </c>
      <c r="J40" s="9" t="n">
        <v>0.05</v>
      </c>
      <c r="K40" s="8" t="n">
        <v>760</v>
      </c>
      <c r="L40" s="8" t="n">
        <v>182.4</v>
      </c>
      <c r="M40" s="7" t="s">
        <v>39</v>
      </c>
    </row>
    <row r="41" customFormat="false" ht="15" hidden="false" customHeight="false" outlineLevel="0" collapsed="false">
      <c r="A41" s="0" t="s">
        <v>120</v>
      </c>
      <c r="B41" s="6" t="n">
        <v>46067</v>
      </c>
      <c r="C41" s="7" t="s">
        <v>101</v>
      </c>
      <c r="D41" s="7" t="s">
        <v>118</v>
      </c>
      <c r="E41" s="7" t="s">
        <v>38</v>
      </c>
      <c r="F41" s="7" t="s">
        <v>85</v>
      </c>
      <c r="G41" s="7" t="s">
        <v>20</v>
      </c>
      <c r="H41" s="8" t="n">
        <v>4</v>
      </c>
      <c r="I41" s="8" t="n">
        <v>180</v>
      </c>
      <c r="J41" s="9" t="n">
        <v>0.05</v>
      </c>
      <c r="K41" s="8" t="n">
        <v>684</v>
      </c>
      <c r="L41" s="8" t="n">
        <v>191.52</v>
      </c>
      <c r="M41" s="7" t="s">
        <v>28</v>
      </c>
    </row>
    <row r="42" customFormat="false" ht="15" hidden="false" customHeight="false" outlineLevel="0" collapsed="false">
      <c r="A42" s="0" t="s">
        <v>121</v>
      </c>
      <c r="B42" s="6" t="n">
        <v>46069</v>
      </c>
      <c r="C42" s="7" t="s">
        <v>60</v>
      </c>
      <c r="D42" s="7" t="s">
        <v>51</v>
      </c>
      <c r="E42" s="7" t="s">
        <v>52</v>
      </c>
      <c r="F42" s="7" t="s">
        <v>96</v>
      </c>
      <c r="G42" s="7" t="s">
        <v>48</v>
      </c>
      <c r="H42" s="8" t="n">
        <v>4</v>
      </c>
      <c r="I42" s="8" t="n">
        <v>900</v>
      </c>
      <c r="J42" s="9" t="n">
        <v>0</v>
      </c>
      <c r="K42" s="8" t="n">
        <v>3600</v>
      </c>
      <c r="L42" s="8" t="n">
        <v>900</v>
      </c>
      <c r="M42" s="7" t="s">
        <v>28</v>
      </c>
    </row>
    <row r="43" customFormat="false" ht="15" hidden="false" customHeight="false" outlineLevel="0" collapsed="false">
      <c r="A43" s="0" t="s">
        <v>122</v>
      </c>
      <c r="B43" s="6" t="n">
        <v>46071</v>
      </c>
      <c r="C43" s="7" t="s">
        <v>101</v>
      </c>
      <c r="D43" s="7" t="s">
        <v>123</v>
      </c>
      <c r="E43" s="7" t="s">
        <v>99</v>
      </c>
      <c r="F43" s="7" t="s">
        <v>90</v>
      </c>
      <c r="G43" s="7" t="s">
        <v>27</v>
      </c>
      <c r="H43" s="8" t="n">
        <v>2</v>
      </c>
      <c r="I43" s="8" t="n">
        <v>12000</v>
      </c>
      <c r="J43" s="9" t="n">
        <v>0</v>
      </c>
      <c r="K43" s="8" t="n">
        <v>24000</v>
      </c>
      <c r="L43" s="8" t="n">
        <v>2400</v>
      </c>
      <c r="M43" s="7" t="s">
        <v>39</v>
      </c>
    </row>
    <row r="44" customFormat="false" ht="15" hidden="false" customHeight="false" outlineLevel="0" collapsed="false">
      <c r="A44" s="0" t="s">
        <v>124</v>
      </c>
      <c r="B44" s="6" t="n">
        <v>46071</v>
      </c>
      <c r="C44" s="7" t="s">
        <v>117</v>
      </c>
      <c r="D44" s="7" t="s">
        <v>24</v>
      </c>
      <c r="E44" s="7" t="s">
        <v>25</v>
      </c>
      <c r="F44" s="7" t="s">
        <v>43</v>
      </c>
      <c r="G44" s="7" t="s">
        <v>27</v>
      </c>
      <c r="H44" s="8" t="n">
        <v>4</v>
      </c>
      <c r="I44" s="8" t="n">
        <v>2500</v>
      </c>
      <c r="J44" s="9" t="n">
        <v>0.05</v>
      </c>
      <c r="K44" s="8" t="n">
        <v>9500</v>
      </c>
      <c r="L44" s="8" t="n">
        <v>1900</v>
      </c>
      <c r="M44" s="7" t="s">
        <v>39</v>
      </c>
    </row>
    <row r="45" customFormat="false" ht="15" hidden="false" customHeight="false" outlineLevel="0" collapsed="false">
      <c r="A45" s="0" t="s">
        <v>125</v>
      </c>
      <c r="B45" s="6" t="n">
        <v>46074</v>
      </c>
      <c r="C45" s="7" t="s">
        <v>117</v>
      </c>
      <c r="D45" s="7" t="s">
        <v>98</v>
      </c>
      <c r="E45" s="7" t="s">
        <v>99</v>
      </c>
      <c r="F45" s="7" t="s">
        <v>79</v>
      </c>
      <c r="G45" s="7" t="s">
        <v>33</v>
      </c>
      <c r="H45" s="8" t="n">
        <v>3</v>
      </c>
      <c r="I45" s="8" t="n">
        <v>8500</v>
      </c>
      <c r="J45" s="9" t="n">
        <v>0.05</v>
      </c>
      <c r="K45" s="8" t="n">
        <v>24225</v>
      </c>
      <c r="L45" s="8" t="n">
        <v>3391.5</v>
      </c>
      <c r="M45" s="7" t="s">
        <v>68</v>
      </c>
    </row>
    <row r="46" customFormat="false" ht="15" hidden="false" customHeight="false" outlineLevel="0" collapsed="false">
      <c r="A46" s="0" t="s">
        <v>126</v>
      </c>
      <c r="B46" s="6" t="n">
        <v>46075</v>
      </c>
      <c r="C46" s="7" t="s">
        <v>87</v>
      </c>
      <c r="D46" s="7" t="s">
        <v>104</v>
      </c>
      <c r="E46" s="7" t="s">
        <v>18</v>
      </c>
      <c r="F46" s="7" t="s">
        <v>43</v>
      </c>
      <c r="G46" s="7" t="s">
        <v>27</v>
      </c>
      <c r="H46" s="8" t="n">
        <v>3</v>
      </c>
      <c r="I46" s="8" t="n">
        <v>2500</v>
      </c>
      <c r="J46" s="9" t="n">
        <v>0.15</v>
      </c>
      <c r="K46" s="8" t="n">
        <v>6375</v>
      </c>
      <c r="L46" s="8" t="n">
        <v>1275</v>
      </c>
      <c r="M46" s="7" t="s">
        <v>28</v>
      </c>
    </row>
    <row r="47" customFormat="false" ht="15" hidden="false" customHeight="false" outlineLevel="0" collapsed="false">
      <c r="A47" s="0" t="s">
        <v>127</v>
      </c>
      <c r="B47" s="6" t="n">
        <v>46075</v>
      </c>
      <c r="C47" s="7" t="s">
        <v>36</v>
      </c>
      <c r="D47" s="7" t="s">
        <v>30</v>
      </c>
      <c r="E47" s="7" t="s">
        <v>31</v>
      </c>
      <c r="F47" s="7" t="s">
        <v>53</v>
      </c>
      <c r="G47" s="7" t="s">
        <v>27</v>
      </c>
      <c r="H47" s="8" t="n">
        <v>3</v>
      </c>
      <c r="I47" s="8" t="n">
        <v>1800</v>
      </c>
      <c r="J47" s="9" t="n">
        <v>0.15</v>
      </c>
      <c r="K47" s="8" t="n">
        <v>4590</v>
      </c>
      <c r="L47" s="8" t="n">
        <v>826.2</v>
      </c>
      <c r="M47" s="7" t="s">
        <v>68</v>
      </c>
    </row>
    <row r="48" customFormat="false" ht="15" hidden="false" customHeight="false" outlineLevel="0" collapsed="false">
      <c r="A48" s="0" t="s">
        <v>128</v>
      </c>
      <c r="B48" s="6" t="n">
        <v>46076</v>
      </c>
      <c r="C48" s="7" t="s">
        <v>70</v>
      </c>
      <c r="D48" s="7" t="s">
        <v>81</v>
      </c>
      <c r="E48" s="7" t="s">
        <v>18</v>
      </c>
      <c r="F48" s="7" t="s">
        <v>82</v>
      </c>
      <c r="G48" s="7" t="s">
        <v>48</v>
      </c>
      <c r="H48" s="8" t="n">
        <v>3</v>
      </c>
      <c r="I48" s="8" t="n">
        <v>2200</v>
      </c>
      <c r="J48" s="9" t="n">
        <v>0.15</v>
      </c>
      <c r="K48" s="8" t="n">
        <v>5610</v>
      </c>
      <c r="L48" s="8" t="n">
        <v>1234.2</v>
      </c>
      <c r="M48" s="7" t="s">
        <v>28</v>
      </c>
    </row>
    <row r="49" customFormat="false" ht="15" hidden="false" customHeight="false" outlineLevel="0" collapsed="false">
      <c r="A49" s="0" t="s">
        <v>129</v>
      </c>
      <c r="B49" s="6" t="n">
        <v>46079</v>
      </c>
      <c r="C49" s="7" t="s">
        <v>50</v>
      </c>
      <c r="D49" s="7" t="s">
        <v>71</v>
      </c>
      <c r="E49" s="7" t="s">
        <v>71</v>
      </c>
      <c r="F49" s="7" t="s">
        <v>47</v>
      </c>
      <c r="G49" s="7" t="s">
        <v>48</v>
      </c>
      <c r="H49" s="8" t="n">
        <v>1</v>
      </c>
      <c r="I49" s="8" t="n">
        <v>800</v>
      </c>
      <c r="J49" s="9" t="n">
        <v>0.05</v>
      </c>
      <c r="K49" s="8" t="n">
        <v>760</v>
      </c>
      <c r="L49" s="8" t="n">
        <v>182.4</v>
      </c>
      <c r="M49" s="7" t="s">
        <v>34</v>
      </c>
    </row>
    <row r="50" customFormat="false" ht="15" hidden="false" customHeight="false" outlineLevel="0" collapsed="false">
      <c r="A50" s="0" t="s">
        <v>130</v>
      </c>
      <c r="B50" s="6" t="n">
        <v>46079</v>
      </c>
      <c r="C50" s="7" t="s">
        <v>113</v>
      </c>
      <c r="D50" s="7" t="s">
        <v>37</v>
      </c>
      <c r="E50" s="7" t="s">
        <v>38</v>
      </c>
      <c r="F50" s="7" t="s">
        <v>58</v>
      </c>
      <c r="G50" s="7" t="s">
        <v>33</v>
      </c>
      <c r="H50" s="8" t="n">
        <v>1</v>
      </c>
      <c r="I50" s="8" t="n">
        <v>7000</v>
      </c>
      <c r="J50" s="9" t="n">
        <v>0.05</v>
      </c>
      <c r="K50" s="8" t="n">
        <v>6650</v>
      </c>
      <c r="L50" s="8" t="n">
        <v>997.5</v>
      </c>
      <c r="M50" s="7" t="s">
        <v>34</v>
      </c>
    </row>
    <row r="51" customFormat="false" ht="15" hidden="false" customHeight="false" outlineLevel="0" collapsed="false">
      <c r="A51" s="0" t="s">
        <v>131</v>
      </c>
      <c r="B51" s="6" t="n">
        <v>46079</v>
      </c>
      <c r="C51" s="7" t="s">
        <v>50</v>
      </c>
      <c r="D51" s="7" t="s">
        <v>30</v>
      </c>
      <c r="E51" s="7" t="s">
        <v>31</v>
      </c>
      <c r="F51" s="7" t="s">
        <v>96</v>
      </c>
      <c r="G51" s="7" t="s">
        <v>48</v>
      </c>
      <c r="H51" s="8" t="n">
        <v>4</v>
      </c>
      <c r="I51" s="8" t="n">
        <v>900</v>
      </c>
      <c r="J51" s="9" t="n">
        <v>0.1</v>
      </c>
      <c r="K51" s="8" t="n">
        <v>3240</v>
      </c>
      <c r="L51" s="8" t="n">
        <v>810</v>
      </c>
      <c r="M51" s="7" t="s">
        <v>28</v>
      </c>
    </row>
    <row r="52" customFormat="false" ht="15" hidden="false" customHeight="false" outlineLevel="0" collapsed="false">
      <c r="A52" s="0" t="s">
        <v>132</v>
      </c>
      <c r="B52" s="6" t="n">
        <v>46079</v>
      </c>
      <c r="C52" s="7" t="s">
        <v>60</v>
      </c>
      <c r="D52" s="7" t="s">
        <v>104</v>
      </c>
      <c r="E52" s="7" t="s">
        <v>18</v>
      </c>
      <c r="F52" s="7" t="s">
        <v>58</v>
      </c>
      <c r="G52" s="7" t="s">
        <v>33</v>
      </c>
      <c r="H52" s="8" t="n">
        <v>1</v>
      </c>
      <c r="I52" s="8" t="n">
        <v>7000</v>
      </c>
      <c r="J52" s="9" t="n">
        <v>0.15</v>
      </c>
      <c r="K52" s="8" t="n">
        <v>5950</v>
      </c>
      <c r="L52" s="8" t="n">
        <v>892.5</v>
      </c>
      <c r="M52" s="7" t="s">
        <v>39</v>
      </c>
    </row>
    <row r="53" customFormat="false" ht="15" hidden="false" customHeight="false" outlineLevel="0" collapsed="false">
      <c r="A53" s="0" t="s">
        <v>133</v>
      </c>
      <c r="B53" s="6" t="n">
        <v>46080</v>
      </c>
      <c r="C53" s="7" t="s">
        <v>23</v>
      </c>
      <c r="D53" s="7" t="s">
        <v>56</v>
      </c>
      <c r="E53" s="7" t="s">
        <v>57</v>
      </c>
      <c r="F53" s="7" t="s">
        <v>43</v>
      </c>
      <c r="G53" s="7" t="s">
        <v>27</v>
      </c>
      <c r="H53" s="8" t="n">
        <v>1</v>
      </c>
      <c r="I53" s="8" t="n">
        <v>2500</v>
      </c>
      <c r="J53" s="9" t="n">
        <v>0</v>
      </c>
      <c r="K53" s="8" t="n">
        <v>2500</v>
      </c>
      <c r="L53" s="8" t="n">
        <v>500</v>
      </c>
      <c r="M53" s="7" t="s">
        <v>68</v>
      </c>
    </row>
    <row r="54" customFormat="false" ht="15" hidden="false" customHeight="false" outlineLevel="0" collapsed="false">
      <c r="A54" s="0" t="s">
        <v>134</v>
      </c>
      <c r="B54" s="6" t="n">
        <v>46086</v>
      </c>
      <c r="C54" s="7" t="s">
        <v>50</v>
      </c>
      <c r="D54" s="7" t="s">
        <v>45</v>
      </c>
      <c r="E54" s="7" t="s">
        <v>46</v>
      </c>
      <c r="F54" s="7" t="s">
        <v>79</v>
      </c>
      <c r="G54" s="7" t="s">
        <v>33</v>
      </c>
      <c r="H54" s="8" t="n">
        <v>1</v>
      </c>
      <c r="I54" s="8" t="n">
        <v>8500</v>
      </c>
      <c r="J54" s="9" t="n">
        <v>0.05</v>
      </c>
      <c r="K54" s="8" t="n">
        <v>8075</v>
      </c>
      <c r="L54" s="8" t="n">
        <v>1130.5</v>
      </c>
      <c r="M54" s="7" t="s">
        <v>21</v>
      </c>
    </row>
    <row r="55" customFormat="false" ht="15" hidden="false" customHeight="false" outlineLevel="0" collapsed="false">
      <c r="A55" s="0" t="s">
        <v>135</v>
      </c>
      <c r="B55" s="6" t="n">
        <v>46086</v>
      </c>
      <c r="C55" s="7" t="s">
        <v>87</v>
      </c>
      <c r="D55" s="7" t="s">
        <v>118</v>
      </c>
      <c r="E55" s="7" t="s">
        <v>38</v>
      </c>
      <c r="F55" s="7" t="s">
        <v>19</v>
      </c>
      <c r="G55" s="7" t="s">
        <v>20</v>
      </c>
      <c r="H55" s="8" t="n">
        <v>4</v>
      </c>
      <c r="I55" s="8" t="n">
        <v>250</v>
      </c>
      <c r="J55" s="9" t="n">
        <v>0.05</v>
      </c>
      <c r="K55" s="8" t="n">
        <v>950</v>
      </c>
      <c r="L55" s="8" t="n">
        <v>285</v>
      </c>
      <c r="M55" s="7" t="s">
        <v>21</v>
      </c>
    </row>
    <row r="56" customFormat="false" ht="15" hidden="false" customHeight="false" outlineLevel="0" collapsed="false">
      <c r="A56" s="0" t="s">
        <v>136</v>
      </c>
      <c r="B56" s="6" t="n">
        <v>46087</v>
      </c>
      <c r="C56" s="7" t="s">
        <v>109</v>
      </c>
      <c r="D56" s="7" t="s">
        <v>45</v>
      </c>
      <c r="E56" s="7" t="s">
        <v>46</v>
      </c>
      <c r="F56" s="7" t="s">
        <v>47</v>
      </c>
      <c r="G56" s="7" t="s">
        <v>48</v>
      </c>
      <c r="H56" s="8" t="n">
        <v>2</v>
      </c>
      <c r="I56" s="8" t="n">
        <v>800</v>
      </c>
      <c r="J56" s="9" t="n">
        <v>0.1</v>
      </c>
      <c r="K56" s="8" t="n">
        <v>1440</v>
      </c>
      <c r="L56" s="8" t="n">
        <v>345.6</v>
      </c>
      <c r="M56" s="7" t="s">
        <v>34</v>
      </c>
    </row>
    <row r="57" customFormat="false" ht="15" hidden="false" customHeight="false" outlineLevel="0" collapsed="false">
      <c r="A57" s="0" t="s">
        <v>137</v>
      </c>
      <c r="B57" s="6" t="n">
        <v>46088</v>
      </c>
      <c r="C57" s="7" t="s">
        <v>138</v>
      </c>
      <c r="D57" s="7" t="s">
        <v>123</v>
      </c>
      <c r="E57" s="7" t="s">
        <v>99</v>
      </c>
      <c r="F57" s="7" t="s">
        <v>19</v>
      </c>
      <c r="G57" s="7" t="s">
        <v>20</v>
      </c>
      <c r="H57" s="8" t="n">
        <v>3</v>
      </c>
      <c r="I57" s="8" t="n">
        <v>250</v>
      </c>
      <c r="J57" s="9" t="n">
        <v>0.1</v>
      </c>
      <c r="K57" s="8" t="n">
        <v>675</v>
      </c>
      <c r="L57" s="8" t="n">
        <v>202.5</v>
      </c>
      <c r="M57" s="7" t="s">
        <v>34</v>
      </c>
    </row>
    <row r="58" customFormat="false" ht="15" hidden="false" customHeight="false" outlineLevel="0" collapsed="false">
      <c r="A58" s="0" t="s">
        <v>139</v>
      </c>
      <c r="B58" s="6" t="n">
        <v>46088</v>
      </c>
      <c r="C58" s="7" t="s">
        <v>76</v>
      </c>
      <c r="D58" s="7" t="s">
        <v>30</v>
      </c>
      <c r="E58" s="7" t="s">
        <v>31</v>
      </c>
      <c r="F58" s="7" t="s">
        <v>92</v>
      </c>
      <c r="G58" s="7" t="s">
        <v>93</v>
      </c>
      <c r="H58" s="8" t="n">
        <v>4</v>
      </c>
      <c r="I58" s="8" t="n">
        <v>1600</v>
      </c>
      <c r="J58" s="9" t="n">
        <v>0.1</v>
      </c>
      <c r="K58" s="8" t="n">
        <v>5760</v>
      </c>
      <c r="L58" s="8" t="n">
        <v>1152</v>
      </c>
      <c r="M58" s="7" t="s">
        <v>21</v>
      </c>
    </row>
    <row r="59" customFormat="false" ht="15" hidden="false" customHeight="false" outlineLevel="0" collapsed="false">
      <c r="A59" s="0" t="s">
        <v>140</v>
      </c>
      <c r="B59" s="6" t="n">
        <v>46089</v>
      </c>
      <c r="C59" s="7" t="s">
        <v>36</v>
      </c>
      <c r="D59" s="7" t="s">
        <v>81</v>
      </c>
      <c r="E59" s="7" t="s">
        <v>18</v>
      </c>
      <c r="F59" s="7" t="s">
        <v>53</v>
      </c>
      <c r="G59" s="7" t="s">
        <v>27</v>
      </c>
      <c r="H59" s="8" t="n">
        <v>4</v>
      </c>
      <c r="I59" s="8" t="n">
        <v>1800</v>
      </c>
      <c r="J59" s="9" t="n">
        <v>0.1</v>
      </c>
      <c r="K59" s="8" t="n">
        <v>6480</v>
      </c>
      <c r="L59" s="8" t="n">
        <v>1166.4</v>
      </c>
      <c r="M59" s="7" t="s">
        <v>39</v>
      </c>
    </row>
    <row r="60" customFormat="false" ht="15" hidden="false" customHeight="false" outlineLevel="0" collapsed="false">
      <c r="A60" s="0" t="s">
        <v>141</v>
      </c>
      <c r="B60" s="6" t="n">
        <v>46090</v>
      </c>
      <c r="C60" s="7" t="s">
        <v>50</v>
      </c>
      <c r="D60" s="7" t="s">
        <v>30</v>
      </c>
      <c r="E60" s="7" t="s">
        <v>31</v>
      </c>
      <c r="F60" s="7" t="s">
        <v>43</v>
      </c>
      <c r="G60" s="7" t="s">
        <v>27</v>
      </c>
      <c r="H60" s="8" t="n">
        <v>2</v>
      </c>
      <c r="I60" s="8" t="n">
        <v>2500</v>
      </c>
      <c r="J60" s="9" t="n">
        <v>0.05</v>
      </c>
      <c r="K60" s="8" t="n">
        <v>4750</v>
      </c>
      <c r="L60" s="8" t="n">
        <v>950</v>
      </c>
      <c r="M60" s="7" t="s">
        <v>21</v>
      </c>
    </row>
    <row r="61" customFormat="false" ht="15" hidden="false" customHeight="false" outlineLevel="0" collapsed="false">
      <c r="A61" s="0" t="s">
        <v>142</v>
      </c>
      <c r="B61" s="6" t="n">
        <v>46090</v>
      </c>
      <c r="C61" s="7" t="s">
        <v>89</v>
      </c>
      <c r="D61" s="7" t="s">
        <v>37</v>
      </c>
      <c r="E61" s="7" t="s">
        <v>38</v>
      </c>
      <c r="F61" s="7" t="s">
        <v>92</v>
      </c>
      <c r="G61" s="7" t="s">
        <v>93</v>
      </c>
      <c r="H61" s="8" t="n">
        <v>1</v>
      </c>
      <c r="I61" s="8" t="n">
        <v>1600</v>
      </c>
      <c r="J61" s="9" t="n">
        <v>0.05</v>
      </c>
      <c r="K61" s="8" t="n">
        <v>1520</v>
      </c>
      <c r="L61" s="8" t="n">
        <v>304</v>
      </c>
      <c r="M61" s="7" t="s">
        <v>39</v>
      </c>
    </row>
    <row r="62" customFormat="false" ht="15" hidden="false" customHeight="false" outlineLevel="0" collapsed="false">
      <c r="A62" s="0" t="s">
        <v>143</v>
      </c>
      <c r="B62" s="6" t="n">
        <v>46090</v>
      </c>
      <c r="C62" s="7" t="s">
        <v>109</v>
      </c>
      <c r="D62" s="7" t="s">
        <v>71</v>
      </c>
      <c r="E62" s="7" t="s">
        <v>71</v>
      </c>
      <c r="F62" s="7" t="s">
        <v>82</v>
      </c>
      <c r="G62" s="7" t="s">
        <v>48</v>
      </c>
      <c r="H62" s="8" t="n">
        <v>4</v>
      </c>
      <c r="I62" s="8" t="n">
        <v>2200</v>
      </c>
      <c r="J62" s="9" t="n">
        <v>0.1</v>
      </c>
      <c r="K62" s="8" t="n">
        <v>7920</v>
      </c>
      <c r="L62" s="8" t="n">
        <v>1742.4</v>
      </c>
      <c r="M62" s="7" t="s">
        <v>39</v>
      </c>
    </row>
    <row r="63" customFormat="false" ht="15" hidden="false" customHeight="false" outlineLevel="0" collapsed="false">
      <c r="A63" s="0" t="s">
        <v>144</v>
      </c>
      <c r="B63" s="6" t="n">
        <v>46093</v>
      </c>
      <c r="C63" s="7" t="s">
        <v>109</v>
      </c>
      <c r="D63" s="7" t="s">
        <v>45</v>
      </c>
      <c r="E63" s="7" t="s">
        <v>46</v>
      </c>
      <c r="F63" s="7" t="s">
        <v>85</v>
      </c>
      <c r="G63" s="7" t="s">
        <v>20</v>
      </c>
      <c r="H63" s="8" t="n">
        <v>4</v>
      </c>
      <c r="I63" s="8" t="n">
        <v>180</v>
      </c>
      <c r="J63" s="9" t="n">
        <v>0</v>
      </c>
      <c r="K63" s="8" t="n">
        <v>720</v>
      </c>
      <c r="L63" s="8" t="n">
        <v>201.6</v>
      </c>
      <c r="M63" s="7" t="s">
        <v>68</v>
      </c>
    </row>
    <row r="64" customFormat="false" ht="15" hidden="false" customHeight="false" outlineLevel="0" collapsed="false">
      <c r="A64" s="0" t="s">
        <v>145</v>
      </c>
      <c r="B64" s="6" t="n">
        <v>46094</v>
      </c>
      <c r="C64" s="7" t="s">
        <v>117</v>
      </c>
      <c r="D64" s="7" t="s">
        <v>123</v>
      </c>
      <c r="E64" s="7" t="s">
        <v>99</v>
      </c>
      <c r="F64" s="7" t="s">
        <v>53</v>
      </c>
      <c r="G64" s="7" t="s">
        <v>27</v>
      </c>
      <c r="H64" s="8" t="n">
        <v>4</v>
      </c>
      <c r="I64" s="8" t="n">
        <v>1800</v>
      </c>
      <c r="J64" s="9" t="n">
        <v>0.15</v>
      </c>
      <c r="K64" s="8" t="n">
        <v>6120</v>
      </c>
      <c r="L64" s="8" t="n">
        <v>1101.6</v>
      </c>
      <c r="M64" s="7" t="s">
        <v>39</v>
      </c>
    </row>
    <row r="65" customFormat="false" ht="15" hidden="false" customHeight="false" outlineLevel="0" collapsed="false">
      <c r="A65" s="0" t="s">
        <v>146</v>
      </c>
      <c r="B65" s="6" t="n">
        <v>46095</v>
      </c>
      <c r="C65" s="7" t="s">
        <v>117</v>
      </c>
      <c r="D65" s="7" t="s">
        <v>37</v>
      </c>
      <c r="E65" s="7" t="s">
        <v>38</v>
      </c>
      <c r="F65" s="7" t="s">
        <v>85</v>
      </c>
      <c r="G65" s="7" t="s">
        <v>20</v>
      </c>
      <c r="H65" s="8" t="n">
        <v>5</v>
      </c>
      <c r="I65" s="8" t="n">
        <v>180</v>
      </c>
      <c r="J65" s="9" t="n">
        <v>0.1</v>
      </c>
      <c r="K65" s="8" t="n">
        <v>810</v>
      </c>
      <c r="L65" s="8" t="n">
        <v>226.8</v>
      </c>
      <c r="M65" s="7" t="s">
        <v>21</v>
      </c>
    </row>
    <row r="66" customFormat="false" ht="15" hidden="false" customHeight="false" outlineLevel="0" collapsed="false">
      <c r="A66" s="0" t="s">
        <v>147</v>
      </c>
      <c r="B66" s="6" t="n">
        <v>46095</v>
      </c>
      <c r="C66" s="7" t="s">
        <v>16</v>
      </c>
      <c r="D66" s="7" t="s">
        <v>61</v>
      </c>
      <c r="E66" s="7" t="s">
        <v>57</v>
      </c>
      <c r="F66" s="7" t="s">
        <v>85</v>
      </c>
      <c r="G66" s="7" t="s">
        <v>20</v>
      </c>
      <c r="H66" s="8" t="n">
        <v>5</v>
      </c>
      <c r="I66" s="8" t="n">
        <v>180</v>
      </c>
      <c r="J66" s="9" t="n">
        <v>0.15</v>
      </c>
      <c r="K66" s="8" t="n">
        <v>765</v>
      </c>
      <c r="L66" s="8" t="n">
        <v>214.2</v>
      </c>
      <c r="M66" s="7" t="s">
        <v>68</v>
      </c>
    </row>
    <row r="67" customFormat="false" ht="15" hidden="false" customHeight="false" outlineLevel="0" collapsed="false">
      <c r="A67" s="0" t="s">
        <v>148</v>
      </c>
      <c r="B67" s="6" t="n">
        <v>46095</v>
      </c>
      <c r="C67" s="7" t="s">
        <v>101</v>
      </c>
      <c r="D67" s="7" t="s">
        <v>24</v>
      </c>
      <c r="E67" s="7" t="s">
        <v>25</v>
      </c>
      <c r="F67" s="7" t="s">
        <v>79</v>
      </c>
      <c r="G67" s="7" t="s">
        <v>33</v>
      </c>
      <c r="H67" s="8" t="n">
        <v>1</v>
      </c>
      <c r="I67" s="8" t="n">
        <v>8500</v>
      </c>
      <c r="J67" s="9" t="n">
        <v>0.05</v>
      </c>
      <c r="K67" s="8" t="n">
        <v>8075</v>
      </c>
      <c r="L67" s="8" t="n">
        <v>1130.5</v>
      </c>
      <c r="M67" s="7" t="s">
        <v>39</v>
      </c>
    </row>
    <row r="68" customFormat="false" ht="15" hidden="false" customHeight="false" outlineLevel="0" collapsed="false">
      <c r="A68" s="0" t="s">
        <v>149</v>
      </c>
      <c r="B68" s="6" t="n">
        <v>46098</v>
      </c>
      <c r="C68" s="7" t="s">
        <v>101</v>
      </c>
      <c r="D68" s="7" t="s">
        <v>98</v>
      </c>
      <c r="E68" s="7" t="s">
        <v>99</v>
      </c>
      <c r="F68" s="7" t="s">
        <v>92</v>
      </c>
      <c r="G68" s="7" t="s">
        <v>93</v>
      </c>
      <c r="H68" s="8" t="n">
        <v>3</v>
      </c>
      <c r="I68" s="8" t="n">
        <v>1600</v>
      </c>
      <c r="J68" s="9" t="n">
        <v>0.05</v>
      </c>
      <c r="K68" s="8" t="n">
        <v>4560</v>
      </c>
      <c r="L68" s="8" t="n">
        <v>912</v>
      </c>
      <c r="M68" s="7" t="s">
        <v>34</v>
      </c>
    </row>
    <row r="69" customFormat="false" ht="15" hidden="false" customHeight="false" outlineLevel="0" collapsed="false">
      <c r="A69" s="0" t="s">
        <v>150</v>
      </c>
      <c r="B69" s="6" t="n">
        <v>46098</v>
      </c>
      <c r="C69" s="7" t="s">
        <v>55</v>
      </c>
      <c r="D69" s="7" t="s">
        <v>81</v>
      </c>
      <c r="E69" s="7" t="s">
        <v>18</v>
      </c>
      <c r="F69" s="7" t="s">
        <v>58</v>
      </c>
      <c r="G69" s="7" t="s">
        <v>33</v>
      </c>
      <c r="H69" s="8" t="n">
        <v>1</v>
      </c>
      <c r="I69" s="8" t="n">
        <v>7000</v>
      </c>
      <c r="J69" s="9" t="n">
        <v>0.1</v>
      </c>
      <c r="K69" s="8" t="n">
        <v>6300</v>
      </c>
      <c r="L69" s="8" t="n">
        <v>945</v>
      </c>
      <c r="M69" s="7" t="s">
        <v>21</v>
      </c>
    </row>
    <row r="70" customFormat="false" ht="15" hidden="false" customHeight="false" outlineLevel="0" collapsed="false">
      <c r="A70" s="0" t="s">
        <v>151</v>
      </c>
      <c r="B70" s="6" t="n">
        <v>46098</v>
      </c>
      <c r="C70" s="7" t="s">
        <v>89</v>
      </c>
      <c r="D70" s="7" t="s">
        <v>45</v>
      </c>
      <c r="E70" s="7" t="s">
        <v>46</v>
      </c>
      <c r="F70" s="7" t="s">
        <v>43</v>
      </c>
      <c r="G70" s="7" t="s">
        <v>27</v>
      </c>
      <c r="H70" s="8" t="n">
        <v>3</v>
      </c>
      <c r="I70" s="8" t="n">
        <v>2500</v>
      </c>
      <c r="J70" s="9" t="n">
        <v>0</v>
      </c>
      <c r="K70" s="8" t="n">
        <v>7500</v>
      </c>
      <c r="L70" s="8" t="n">
        <v>1500</v>
      </c>
      <c r="M70" s="7" t="s">
        <v>21</v>
      </c>
    </row>
    <row r="71" customFormat="false" ht="15" hidden="false" customHeight="false" outlineLevel="0" collapsed="false">
      <c r="A71" s="0" t="s">
        <v>152</v>
      </c>
      <c r="B71" s="6" t="n">
        <v>46098</v>
      </c>
      <c r="C71" s="7" t="s">
        <v>16</v>
      </c>
      <c r="D71" s="7" t="s">
        <v>61</v>
      </c>
      <c r="E71" s="7" t="s">
        <v>57</v>
      </c>
      <c r="F71" s="7" t="s">
        <v>62</v>
      </c>
      <c r="G71" s="7" t="s">
        <v>27</v>
      </c>
      <c r="H71" s="8" t="n">
        <v>4</v>
      </c>
      <c r="I71" s="8" t="n">
        <v>55000</v>
      </c>
      <c r="J71" s="9" t="n">
        <v>0.1</v>
      </c>
      <c r="K71" s="8" t="n">
        <v>198000</v>
      </c>
      <c r="L71" s="8" t="n">
        <v>19800</v>
      </c>
      <c r="M71" s="7" t="s">
        <v>34</v>
      </c>
    </row>
    <row r="72" customFormat="false" ht="15" hidden="false" customHeight="false" outlineLevel="0" collapsed="false">
      <c r="A72" s="0" t="s">
        <v>153</v>
      </c>
      <c r="B72" s="6" t="n">
        <v>46098</v>
      </c>
      <c r="C72" s="7" t="s">
        <v>64</v>
      </c>
      <c r="D72" s="7" t="s">
        <v>45</v>
      </c>
      <c r="E72" s="7" t="s">
        <v>46</v>
      </c>
      <c r="F72" s="7" t="s">
        <v>82</v>
      </c>
      <c r="G72" s="7" t="s">
        <v>48</v>
      </c>
      <c r="H72" s="8" t="n">
        <v>5</v>
      </c>
      <c r="I72" s="8" t="n">
        <v>2200</v>
      </c>
      <c r="J72" s="9" t="n">
        <v>0</v>
      </c>
      <c r="K72" s="8" t="n">
        <v>11000</v>
      </c>
      <c r="L72" s="8" t="n">
        <v>2420</v>
      </c>
      <c r="M72" s="7" t="s">
        <v>39</v>
      </c>
    </row>
    <row r="73" customFormat="false" ht="15" hidden="false" customHeight="false" outlineLevel="0" collapsed="false">
      <c r="A73" s="0" t="s">
        <v>154</v>
      </c>
      <c r="B73" s="6" t="n">
        <v>46101</v>
      </c>
      <c r="C73" s="7" t="s">
        <v>70</v>
      </c>
      <c r="D73" s="7" t="s">
        <v>30</v>
      </c>
      <c r="E73" s="7" t="s">
        <v>31</v>
      </c>
      <c r="F73" s="7" t="s">
        <v>79</v>
      </c>
      <c r="G73" s="7" t="s">
        <v>33</v>
      </c>
      <c r="H73" s="8" t="n">
        <v>4</v>
      </c>
      <c r="I73" s="8" t="n">
        <v>8500</v>
      </c>
      <c r="J73" s="9" t="n">
        <v>0.1</v>
      </c>
      <c r="K73" s="8" t="n">
        <v>30600</v>
      </c>
      <c r="L73" s="8" t="n">
        <v>4284</v>
      </c>
      <c r="M73" s="7" t="s">
        <v>28</v>
      </c>
    </row>
    <row r="74" customFormat="false" ht="15" hidden="false" customHeight="false" outlineLevel="0" collapsed="false">
      <c r="A74" s="0" t="s">
        <v>155</v>
      </c>
      <c r="B74" s="6" t="n">
        <v>46105</v>
      </c>
      <c r="C74" s="7" t="s">
        <v>76</v>
      </c>
      <c r="D74" s="7" t="s">
        <v>41</v>
      </c>
      <c r="E74" s="7" t="s">
        <v>42</v>
      </c>
      <c r="F74" s="7" t="s">
        <v>26</v>
      </c>
      <c r="G74" s="7" t="s">
        <v>27</v>
      </c>
      <c r="H74" s="8" t="n">
        <v>3</v>
      </c>
      <c r="I74" s="8" t="n">
        <v>25000</v>
      </c>
      <c r="J74" s="9" t="n">
        <v>0.1</v>
      </c>
      <c r="K74" s="8" t="n">
        <v>67500</v>
      </c>
      <c r="L74" s="8" t="n">
        <v>5400</v>
      </c>
      <c r="M74" s="7" t="s">
        <v>68</v>
      </c>
    </row>
    <row r="75" customFormat="false" ht="15" hidden="false" customHeight="false" outlineLevel="0" collapsed="false">
      <c r="A75" s="0" t="s">
        <v>156</v>
      </c>
      <c r="B75" s="6" t="n">
        <v>46107</v>
      </c>
      <c r="C75" s="7" t="s">
        <v>109</v>
      </c>
      <c r="D75" s="7" t="s">
        <v>71</v>
      </c>
      <c r="E75" s="7" t="s">
        <v>71</v>
      </c>
      <c r="F75" s="7" t="s">
        <v>92</v>
      </c>
      <c r="G75" s="7" t="s">
        <v>93</v>
      </c>
      <c r="H75" s="8" t="n">
        <v>3</v>
      </c>
      <c r="I75" s="8" t="n">
        <v>1600</v>
      </c>
      <c r="J75" s="9" t="n">
        <v>0.05</v>
      </c>
      <c r="K75" s="8" t="n">
        <v>4560</v>
      </c>
      <c r="L75" s="8" t="n">
        <v>912</v>
      </c>
      <c r="M75" s="7" t="s">
        <v>21</v>
      </c>
    </row>
    <row r="76" customFormat="false" ht="15" hidden="false" customHeight="false" outlineLevel="0" collapsed="false">
      <c r="A76" s="0" t="s">
        <v>157</v>
      </c>
      <c r="B76" s="6" t="n">
        <v>46108</v>
      </c>
      <c r="C76" s="7" t="s">
        <v>111</v>
      </c>
      <c r="D76" s="7" t="s">
        <v>56</v>
      </c>
      <c r="E76" s="7" t="s">
        <v>57</v>
      </c>
      <c r="F76" s="7" t="s">
        <v>96</v>
      </c>
      <c r="G76" s="7" t="s">
        <v>48</v>
      </c>
      <c r="H76" s="8" t="n">
        <v>3</v>
      </c>
      <c r="I76" s="8" t="n">
        <v>900</v>
      </c>
      <c r="J76" s="9" t="n">
        <v>0.05</v>
      </c>
      <c r="K76" s="8" t="n">
        <v>2565</v>
      </c>
      <c r="L76" s="8" t="n">
        <v>641.25</v>
      </c>
      <c r="M76" s="7" t="s">
        <v>28</v>
      </c>
    </row>
    <row r="77" customFormat="false" ht="15" hidden="false" customHeight="false" outlineLevel="0" collapsed="false">
      <c r="A77" s="0" t="s">
        <v>158</v>
      </c>
      <c r="B77" s="6" t="n">
        <v>46110</v>
      </c>
      <c r="C77" s="7" t="s">
        <v>111</v>
      </c>
      <c r="D77" s="7" t="s">
        <v>104</v>
      </c>
      <c r="E77" s="7" t="s">
        <v>18</v>
      </c>
      <c r="F77" s="7" t="s">
        <v>53</v>
      </c>
      <c r="G77" s="7" t="s">
        <v>27</v>
      </c>
      <c r="H77" s="8" t="n">
        <v>3</v>
      </c>
      <c r="I77" s="8" t="n">
        <v>1800</v>
      </c>
      <c r="J77" s="9" t="n">
        <v>0</v>
      </c>
      <c r="K77" s="8" t="n">
        <v>5400</v>
      </c>
      <c r="L77" s="8" t="n">
        <v>972</v>
      </c>
      <c r="M77" s="7" t="s">
        <v>34</v>
      </c>
    </row>
    <row r="78" customFormat="false" ht="15" hidden="false" customHeight="false" outlineLevel="0" collapsed="false">
      <c r="A78" s="0" t="s">
        <v>159</v>
      </c>
      <c r="B78" s="6" t="n">
        <v>46112</v>
      </c>
      <c r="C78" s="7" t="s">
        <v>36</v>
      </c>
      <c r="D78" s="7" t="s">
        <v>81</v>
      </c>
      <c r="E78" s="7" t="s">
        <v>18</v>
      </c>
      <c r="F78" s="7" t="s">
        <v>79</v>
      </c>
      <c r="G78" s="7" t="s">
        <v>33</v>
      </c>
      <c r="H78" s="8" t="n">
        <v>1</v>
      </c>
      <c r="I78" s="8" t="n">
        <v>8500</v>
      </c>
      <c r="J78" s="9" t="n">
        <v>0.05</v>
      </c>
      <c r="K78" s="8" t="n">
        <v>8075</v>
      </c>
      <c r="L78" s="8" t="n">
        <v>1130.5</v>
      </c>
      <c r="M78" s="7" t="s">
        <v>39</v>
      </c>
    </row>
    <row r="79" customFormat="false" ht="15" hidden="false" customHeight="false" outlineLevel="0" collapsed="false">
      <c r="A79" s="0" t="s">
        <v>160</v>
      </c>
      <c r="B79" s="6" t="n">
        <v>46113</v>
      </c>
      <c r="C79" s="7" t="s">
        <v>60</v>
      </c>
      <c r="D79" s="7" t="s">
        <v>81</v>
      </c>
      <c r="E79" s="7" t="s">
        <v>18</v>
      </c>
      <c r="F79" s="7" t="s">
        <v>58</v>
      </c>
      <c r="G79" s="7" t="s">
        <v>33</v>
      </c>
      <c r="H79" s="8" t="n">
        <v>1</v>
      </c>
      <c r="I79" s="8" t="n">
        <v>7000</v>
      </c>
      <c r="J79" s="9" t="n">
        <v>0</v>
      </c>
      <c r="K79" s="8" t="n">
        <v>7000</v>
      </c>
      <c r="L79" s="8" t="n">
        <v>1050</v>
      </c>
      <c r="M79" s="7" t="s">
        <v>34</v>
      </c>
    </row>
    <row r="80" customFormat="false" ht="15" hidden="false" customHeight="false" outlineLevel="0" collapsed="false">
      <c r="A80" s="0" t="s">
        <v>161</v>
      </c>
      <c r="B80" s="6" t="n">
        <v>46116</v>
      </c>
      <c r="C80" s="7" t="s">
        <v>162</v>
      </c>
      <c r="D80" s="7" t="s">
        <v>118</v>
      </c>
      <c r="E80" s="7" t="s">
        <v>38</v>
      </c>
      <c r="F80" s="7" t="s">
        <v>62</v>
      </c>
      <c r="G80" s="7" t="s">
        <v>27</v>
      </c>
      <c r="H80" s="8" t="n">
        <v>3</v>
      </c>
      <c r="I80" s="8" t="n">
        <v>55000</v>
      </c>
      <c r="J80" s="9" t="n">
        <v>0</v>
      </c>
      <c r="K80" s="8" t="n">
        <v>165000</v>
      </c>
      <c r="L80" s="8" t="n">
        <v>16500</v>
      </c>
      <c r="M80" s="7" t="s">
        <v>28</v>
      </c>
    </row>
    <row r="81" customFormat="false" ht="15" hidden="false" customHeight="false" outlineLevel="0" collapsed="false">
      <c r="A81" s="0" t="s">
        <v>163</v>
      </c>
      <c r="B81" s="6" t="n">
        <v>46117</v>
      </c>
      <c r="C81" s="7" t="s">
        <v>78</v>
      </c>
      <c r="D81" s="7" t="s">
        <v>30</v>
      </c>
      <c r="E81" s="7" t="s">
        <v>31</v>
      </c>
      <c r="F81" s="7" t="s">
        <v>82</v>
      </c>
      <c r="G81" s="7" t="s">
        <v>48</v>
      </c>
      <c r="H81" s="8" t="n">
        <v>4</v>
      </c>
      <c r="I81" s="8" t="n">
        <v>2200</v>
      </c>
      <c r="J81" s="9" t="n">
        <v>0.1</v>
      </c>
      <c r="K81" s="8" t="n">
        <v>7920</v>
      </c>
      <c r="L81" s="8" t="n">
        <v>1742.4</v>
      </c>
      <c r="M81" s="7" t="s">
        <v>34</v>
      </c>
    </row>
    <row r="82" customFormat="false" ht="15" hidden="false" customHeight="false" outlineLevel="0" collapsed="false">
      <c r="A82" s="0" t="s">
        <v>164</v>
      </c>
      <c r="B82" s="6" t="n">
        <v>46117</v>
      </c>
      <c r="C82" s="7" t="s">
        <v>23</v>
      </c>
      <c r="D82" s="7" t="s">
        <v>17</v>
      </c>
      <c r="E82" s="7" t="s">
        <v>18</v>
      </c>
      <c r="F82" s="7" t="s">
        <v>96</v>
      </c>
      <c r="G82" s="7" t="s">
        <v>48</v>
      </c>
      <c r="H82" s="8" t="n">
        <v>3</v>
      </c>
      <c r="I82" s="8" t="n">
        <v>900</v>
      </c>
      <c r="J82" s="9" t="n">
        <v>0</v>
      </c>
      <c r="K82" s="8" t="n">
        <v>2700</v>
      </c>
      <c r="L82" s="8" t="n">
        <v>675</v>
      </c>
      <c r="M82" s="7" t="s">
        <v>21</v>
      </c>
    </row>
    <row r="83" customFormat="false" ht="15" hidden="false" customHeight="false" outlineLevel="0" collapsed="false">
      <c r="A83" s="0" t="s">
        <v>165</v>
      </c>
      <c r="B83" s="6" t="n">
        <v>46120</v>
      </c>
      <c r="C83" s="7" t="s">
        <v>89</v>
      </c>
      <c r="D83" s="7" t="s">
        <v>118</v>
      </c>
      <c r="E83" s="7" t="s">
        <v>38</v>
      </c>
      <c r="F83" s="7" t="s">
        <v>85</v>
      </c>
      <c r="G83" s="7" t="s">
        <v>20</v>
      </c>
      <c r="H83" s="8" t="n">
        <v>3</v>
      </c>
      <c r="I83" s="8" t="n">
        <v>180</v>
      </c>
      <c r="J83" s="9" t="n">
        <v>0.1</v>
      </c>
      <c r="K83" s="8" t="n">
        <v>486</v>
      </c>
      <c r="L83" s="8" t="n">
        <v>136.08</v>
      </c>
      <c r="M83" s="7" t="s">
        <v>34</v>
      </c>
    </row>
    <row r="84" customFormat="false" ht="15" hidden="false" customHeight="false" outlineLevel="0" collapsed="false">
      <c r="A84" s="0" t="s">
        <v>166</v>
      </c>
      <c r="B84" s="6" t="n">
        <v>46120</v>
      </c>
      <c r="C84" s="7" t="s">
        <v>87</v>
      </c>
      <c r="D84" s="7" t="s">
        <v>104</v>
      </c>
      <c r="E84" s="7" t="s">
        <v>18</v>
      </c>
      <c r="F84" s="7" t="s">
        <v>53</v>
      </c>
      <c r="G84" s="7" t="s">
        <v>27</v>
      </c>
      <c r="H84" s="8" t="n">
        <v>3</v>
      </c>
      <c r="I84" s="8" t="n">
        <v>1800</v>
      </c>
      <c r="J84" s="9" t="n">
        <v>0</v>
      </c>
      <c r="K84" s="8" t="n">
        <v>5400</v>
      </c>
      <c r="L84" s="8" t="n">
        <v>972</v>
      </c>
      <c r="M84" s="7" t="s">
        <v>68</v>
      </c>
    </row>
    <row r="85" customFormat="false" ht="15" hidden="false" customHeight="false" outlineLevel="0" collapsed="false">
      <c r="A85" s="0" t="s">
        <v>167</v>
      </c>
      <c r="B85" s="6" t="n">
        <v>46120</v>
      </c>
      <c r="C85" s="7" t="s">
        <v>162</v>
      </c>
      <c r="D85" s="7" t="s">
        <v>71</v>
      </c>
      <c r="E85" s="7" t="s">
        <v>71</v>
      </c>
      <c r="F85" s="7" t="s">
        <v>65</v>
      </c>
      <c r="G85" s="7" t="s">
        <v>27</v>
      </c>
      <c r="H85" s="8" t="n">
        <v>4</v>
      </c>
      <c r="I85" s="8" t="n">
        <v>14000</v>
      </c>
      <c r="J85" s="9" t="n">
        <v>0.1</v>
      </c>
      <c r="K85" s="8" t="n">
        <v>50400</v>
      </c>
      <c r="L85" s="8" t="n">
        <v>6048</v>
      </c>
      <c r="M85" s="7" t="s">
        <v>28</v>
      </c>
    </row>
    <row r="86" customFormat="false" ht="15" hidden="false" customHeight="false" outlineLevel="0" collapsed="false">
      <c r="A86" s="0" t="s">
        <v>168</v>
      </c>
      <c r="B86" s="6" t="n">
        <v>46120</v>
      </c>
      <c r="C86" s="7" t="s">
        <v>117</v>
      </c>
      <c r="D86" s="7" t="s">
        <v>41</v>
      </c>
      <c r="E86" s="7" t="s">
        <v>42</v>
      </c>
      <c r="F86" s="7" t="s">
        <v>65</v>
      </c>
      <c r="G86" s="7" t="s">
        <v>27</v>
      </c>
      <c r="H86" s="8" t="n">
        <v>5</v>
      </c>
      <c r="I86" s="8" t="n">
        <v>14000</v>
      </c>
      <c r="J86" s="9" t="n">
        <v>0.15</v>
      </c>
      <c r="K86" s="8" t="n">
        <v>59500</v>
      </c>
      <c r="L86" s="8" t="n">
        <v>7140</v>
      </c>
      <c r="M86" s="7" t="s">
        <v>39</v>
      </c>
    </row>
    <row r="87" customFormat="false" ht="15" hidden="false" customHeight="false" outlineLevel="0" collapsed="false">
      <c r="A87" s="0" t="s">
        <v>169</v>
      </c>
      <c r="B87" s="6" t="n">
        <v>46121</v>
      </c>
      <c r="C87" s="7" t="s">
        <v>111</v>
      </c>
      <c r="D87" s="7" t="s">
        <v>30</v>
      </c>
      <c r="E87" s="7" t="s">
        <v>31</v>
      </c>
      <c r="F87" s="7" t="s">
        <v>58</v>
      </c>
      <c r="G87" s="7" t="s">
        <v>33</v>
      </c>
      <c r="H87" s="8" t="n">
        <v>1</v>
      </c>
      <c r="I87" s="8" t="n">
        <v>7000</v>
      </c>
      <c r="J87" s="9" t="n">
        <v>0.05</v>
      </c>
      <c r="K87" s="8" t="n">
        <v>6650</v>
      </c>
      <c r="L87" s="8" t="n">
        <v>997.5</v>
      </c>
      <c r="M87" s="7" t="s">
        <v>21</v>
      </c>
    </row>
    <row r="88" customFormat="false" ht="15" hidden="false" customHeight="false" outlineLevel="0" collapsed="false">
      <c r="A88" s="0" t="s">
        <v>170</v>
      </c>
      <c r="B88" s="6" t="n">
        <v>46125</v>
      </c>
      <c r="C88" s="7" t="s">
        <v>89</v>
      </c>
      <c r="D88" s="7" t="s">
        <v>30</v>
      </c>
      <c r="E88" s="7" t="s">
        <v>31</v>
      </c>
      <c r="F88" s="7" t="s">
        <v>58</v>
      </c>
      <c r="G88" s="7" t="s">
        <v>33</v>
      </c>
      <c r="H88" s="8" t="n">
        <v>5</v>
      </c>
      <c r="I88" s="8" t="n">
        <v>7000</v>
      </c>
      <c r="J88" s="9" t="n">
        <v>0.15</v>
      </c>
      <c r="K88" s="8" t="n">
        <v>29750</v>
      </c>
      <c r="L88" s="8" t="n">
        <v>4462.5</v>
      </c>
      <c r="M88" s="7" t="s">
        <v>34</v>
      </c>
    </row>
    <row r="89" customFormat="false" ht="15" hidden="false" customHeight="false" outlineLevel="0" collapsed="false">
      <c r="A89" s="0" t="s">
        <v>171</v>
      </c>
      <c r="B89" s="6" t="n">
        <v>46126</v>
      </c>
      <c r="C89" s="7" t="s">
        <v>70</v>
      </c>
      <c r="D89" s="7" t="s">
        <v>118</v>
      </c>
      <c r="E89" s="7" t="s">
        <v>38</v>
      </c>
      <c r="F89" s="7" t="s">
        <v>53</v>
      </c>
      <c r="G89" s="7" t="s">
        <v>27</v>
      </c>
      <c r="H89" s="8" t="n">
        <v>5</v>
      </c>
      <c r="I89" s="8" t="n">
        <v>1800</v>
      </c>
      <c r="J89" s="9" t="n">
        <v>0</v>
      </c>
      <c r="K89" s="8" t="n">
        <v>9000</v>
      </c>
      <c r="L89" s="8" t="n">
        <v>1620</v>
      </c>
      <c r="M89" s="7" t="s">
        <v>21</v>
      </c>
    </row>
    <row r="90" customFormat="false" ht="15" hidden="false" customHeight="false" outlineLevel="0" collapsed="false">
      <c r="A90" s="0" t="s">
        <v>172</v>
      </c>
      <c r="B90" s="6" t="n">
        <v>46126</v>
      </c>
      <c r="C90" s="7" t="s">
        <v>36</v>
      </c>
      <c r="D90" s="7" t="s">
        <v>61</v>
      </c>
      <c r="E90" s="7" t="s">
        <v>57</v>
      </c>
      <c r="F90" s="7" t="s">
        <v>19</v>
      </c>
      <c r="G90" s="7" t="s">
        <v>20</v>
      </c>
      <c r="H90" s="8" t="n">
        <v>1</v>
      </c>
      <c r="I90" s="8" t="n">
        <v>250</v>
      </c>
      <c r="J90" s="9" t="n">
        <v>0.05</v>
      </c>
      <c r="K90" s="8" t="n">
        <v>237.5</v>
      </c>
      <c r="L90" s="8" t="n">
        <v>71.25</v>
      </c>
      <c r="M90" s="7" t="s">
        <v>68</v>
      </c>
    </row>
    <row r="91" customFormat="false" ht="15" hidden="false" customHeight="false" outlineLevel="0" collapsed="false">
      <c r="A91" s="0" t="s">
        <v>173</v>
      </c>
      <c r="B91" s="6" t="n">
        <v>46128</v>
      </c>
      <c r="C91" s="7" t="s">
        <v>138</v>
      </c>
      <c r="D91" s="7" t="s">
        <v>61</v>
      </c>
      <c r="E91" s="7" t="s">
        <v>57</v>
      </c>
      <c r="F91" s="7" t="s">
        <v>65</v>
      </c>
      <c r="G91" s="7" t="s">
        <v>27</v>
      </c>
      <c r="H91" s="8" t="n">
        <v>4</v>
      </c>
      <c r="I91" s="8" t="n">
        <v>14000</v>
      </c>
      <c r="J91" s="9" t="n">
        <v>0</v>
      </c>
      <c r="K91" s="8" t="n">
        <v>56000</v>
      </c>
      <c r="L91" s="8" t="n">
        <v>6720</v>
      </c>
      <c r="M91" s="7" t="s">
        <v>28</v>
      </c>
    </row>
    <row r="92" customFormat="false" ht="15" hidden="false" customHeight="false" outlineLevel="0" collapsed="false">
      <c r="A92" s="0" t="s">
        <v>174</v>
      </c>
      <c r="B92" s="6" t="n">
        <v>46131</v>
      </c>
      <c r="C92" s="7" t="s">
        <v>76</v>
      </c>
      <c r="D92" s="7" t="s">
        <v>71</v>
      </c>
      <c r="E92" s="7" t="s">
        <v>71</v>
      </c>
      <c r="F92" s="7" t="s">
        <v>26</v>
      </c>
      <c r="G92" s="7" t="s">
        <v>27</v>
      </c>
      <c r="H92" s="8" t="n">
        <v>2</v>
      </c>
      <c r="I92" s="8" t="n">
        <v>25000</v>
      </c>
      <c r="J92" s="9" t="n">
        <v>0.05</v>
      </c>
      <c r="K92" s="8" t="n">
        <v>47500</v>
      </c>
      <c r="L92" s="8" t="n">
        <v>3800</v>
      </c>
      <c r="M92" s="7" t="s">
        <v>21</v>
      </c>
    </row>
    <row r="93" customFormat="false" ht="15" hidden="false" customHeight="false" outlineLevel="0" collapsed="false">
      <c r="A93" s="0" t="s">
        <v>175</v>
      </c>
      <c r="B93" s="6" t="n">
        <v>46132</v>
      </c>
      <c r="C93" s="7" t="s">
        <v>70</v>
      </c>
      <c r="D93" s="7" t="s">
        <v>123</v>
      </c>
      <c r="E93" s="7" t="s">
        <v>99</v>
      </c>
      <c r="F93" s="7" t="s">
        <v>32</v>
      </c>
      <c r="G93" s="7" t="s">
        <v>33</v>
      </c>
      <c r="H93" s="8" t="n">
        <v>3</v>
      </c>
      <c r="I93" s="8" t="n">
        <v>12000</v>
      </c>
      <c r="J93" s="9" t="n">
        <v>0.05</v>
      </c>
      <c r="K93" s="8" t="n">
        <v>34200</v>
      </c>
      <c r="L93" s="8" t="n">
        <v>4104</v>
      </c>
      <c r="M93" s="7" t="s">
        <v>68</v>
      </c>
    </row>
    <row r="94" customFormat="false" ht="15" hidden="false" customHeight="false" outlineLevel="0" collapsed="false">
      <c r="A94" s="0" t="s">
        <v>176</v>
      </c>
      <c r="B94" s="6" t="n">
        <v>46133</v>
      </c>
      <c r="C94" s="7" t="s">
        <v>36</v>
      </c>
      <c r="D94" s="7" t="s">
        <v>118</v>
      </c>
      <c r="E94" s="7" t="s">
        <v>38</v>
      </c>
      <c r="F94" s="7" t="s">
        <v>82</v>
      </c>
      <c r="G94" s="7" t="s">
        <v>48</v>
      </c>
      <c r="H94" s="8" t="n">
        <v>3</v>
      </c>
      <c r="I94" s="8" t="n">
        <v>2200</v>
      </c>
      <c r="J94" s="9" t="n">
        <v>0</v>
      </c>
      <c r="K94" s="8" t="n">
        <v>6600</v>
      </c>
      <c r="L94" s="8" t="n">
        <v>1452</v>
      </c>
      <c r="M94" s="7" t="s">
        <v>39</v>
      </c>
    </row>
    <row r="95" customFormat="false" ht="15" hidden="false" customHeight="false" outlineLevel="0" collapsed="false">
      <c r="A95" s="0" t="s">
        <v>177</v>
      </c>
      <c r="B95" s="6" t="n">
        <v>46133</v>
      </c>
      <c r="C95" s="7" t="s">
        <v>117</v>
      </c>
      <c r="D95" s="7" t="s">
        <v>17</v>
      </c>
      <c r="E95" s="7" t="s">
        <v>18</v>
      </c>
      <c r="F95" s="7" t="s">
        <v>47</v>
      </c>
      <c r="G95" s="7" t="s">
        <v>48</v>
      </c>
      <c r="H95" s="8" t="n">
        <v>2</v>
      </c>
      <c r="I95" s="8" t="n">
        <v>800</v>
      </c>
      <c r="J95" s="9" t="n">
        <v>0.15</v>
      </c>
      <c r="K95" s="8" t="n">
        <v>1360</v>
      </c>
      <c r="L95" s="8" t="n">
        <v>326.4</v>
      </c>
      <c r="M95" s="7" t="s">
        <v>68</v>
      </c>
    </row>
    <row r="96" customFormat="false" ht="15" hidden="false" customHeight="false" outlineLevel="0" collapsed="false">
      <c r="A96" s="0" t="s">
        <v>178</v>
      </c>
      <c r="B96" s="6" t="n">
        <v>46134</v>
      </c>
      <c r="C96" s="7" t="s">
        <v>109</v>
      </c>
      <c r="D96" s="7" t="s">
        <v>118</v>
      </c>
      <c r="E96" s="7" t="s">
        <v>38</v>
      </c>
      <c r="F96" s="7" t="s">
        <v>58</v>
      </c>
      <c r="G96" s="7" t="s">
        <v>33</v>
      </c>
      <c r="H96" s="8" t="n">
        <v>2</v>
      </c>
      <c r="I96" s="8" t="n">
        <v>7000</v>
      </c>
      <c r="J96" s="9" t="n">
        <v>0.1</v>
      </c>
      <c r="K96" s="8" t="n">
        <v>12600</v>
      </c>
      <c r="L96" s="8" t="n">
        <v>1890</v>
      </c>
      <c r="M96" s="7" t="s">
        <v>34</v>
      </c>
    </row>
    <row r="97" customFormat="false" ht="15" hidden="false" customHeight="false" outlineLevel="0" collapsed="false">
      <c r="A97" s="0" t="s">
        <v>179</v>
      </c>
      <c r="B97" s="6" t="n">
        <v>46134</v>
      </c>
      <c r="C97" s="7" t="s">
        <v>113</v>
      </c>
      <c r="D97" s="7" t="s">
        <v>51</v>
      </c>
      <c r="E97" s="7" t="s">
        <v>52</v>
      </c>
      <c r="F97" s="7" t="s">
        <v>26</v>
      </c>
      <c r="G97" s="7" t="s">
        <v>27</v>
      </c>
      <c r="H97" s="8" t="n">
        <v>4</v>
      </c>
      <c r="I97" s="8" t="n">
        <v>25000</v>
      </c>
      <c r="J97" s="9" t="n">
        <v>0.05</v>
      </c>
      <c r="K97" s="8" t="n">
        <v>95000</v>
      </c>
      <c r="L97" s="8" t="n">
        <v>7600</v>
      </c>
      <c r="M97" s="7" t="s">
        <v>39</v>
      </c>
    </row>
    <row r="98" customFormat="false" ht="15" hidden="false" customHeight="false" outlineLevel="0" collapsed="false">
      <c r="A98" s="0" t="s">
        <v>180</v>
      </c>
      <c r="B98" s="6" t="n">
        <v>46134</v>
      </c>
      <c r="C98" s="7" t="s">
        <v>70</v>
      </c>
      <c r="D98" s="7" t="s">
        <v>98</v>
      </c>
      <c r="E98" s="7" t="s">
        <v>99</v>
      </c>
      <c r="F98" s="7" t="s">
        <v>65</v>
      </c>
      <c r="G98" s="7" t="s">
        <v>27</v>
      </c>
      <c r="H98" s="8" t="n">
        <v>3</v>
      </c>
      <c r="I98" s="8" t="n">
        <v>14000</v>
      </c>
      <c r="J98" s="9" t="n">
        <v>0.05</v>
      </c>
      <c r="K98" s="8" t="n">
        <v>39900</v>
      </c>
      <c r="L98" s="8" t="n">
        <v>4788</v>
      </c>
      <c r="M98" s="7" t="s">
        <v>34</v>
      </c>
    </row>
    <row r="99" customFormat="false" ht="15" hidden="false" customHeight="false" outlineLevel="0" collapsed="false">
      <c r="A99" s="0" t="s">
        <v>181</v>
      </c>
      <c r="B99" s="6" t="n">
        <v>46136</v>
      </c>
      <c r="C99" s="7" t="s">
        <v>23</v>
      </c>
      <c r="D99" s="7" t="s">
        <v>30</v>
      </c>
      <c r="E99" s="7" t="s">
        <v>31</v>
      </c>
      <c r="F99" s="7" t="s">
        <v>90</v>
      </c>
      <c r="G99" s="7" t="s">
        <v>27</v>
      </c>
      <c r="H99" s="8" t="n">
        <v>4</v>
      </c>
      <c r="I99" s="8" t="n">
        <v>12000</v>
      </c>
      <c r="J99" s="9" t="n">
        <v>0.05</v>
      </c>
      <c r="K99" s="8" t="n">
        <v>45600</v>
      </c>
      <c r="L99" s="8" t="n">
        <v>4560</v>
      </c>
      <c r="M99" s="7" t="s">
        <v>34</v>
      </c>
    </row>
    <row r="100" customFormat="false" ht="15" hidden="false" customHeight="false" outlineLevel="0" collapsed="false">
      <c r="A100" s="0" t="s">
        <v>182</v>
      </c>
      <c r="B100" s="6" t="n">
        <v>46137</v>
      </c>
      <c r="C100" s="7" t="s">
        <v>138</v>
      </c>
      <c r="D100" s="7" t="s">
        <v>24</v>
      </c>
      <c r="E100" s="7" t="s">
        <v>25</v>
      </c>
      <c r="F100" s="7" t="s">
        <v>79</v>
      </c>
      <c r="G100" s="7" t="s">
        <v>33</v>
      </c>
      <c r="H100" s="8" t="n">
        <v>3</v>
      </c>
      <c r="I100" s="8" t="n">
        <v>8500</v>
      </c>
      <c r="J100" s="9" t="n">
        <v>0.15</v>
      </c>
      <c r="K100" s="8" t="n">
        <v>21675</v>
      </c>
      <c r="L100" s="8" t="n">
        <v>3034.5</v>
      </c>
      <c r="M100" s="7" t="s">
        <v>28</v>
      </c>
    </row>
    <row r="101" customFormat="false" ht="15" hidden="false" customHeight="false" outlineLevel="0" collapsed="false">
      <c r="A101" s="0" t="s">
        <v>183</v>
      </c>
      <c r="B101" s="6" t="n">
        <v>46137</v>
      </c>
      <c r="C101" s="7" t="s">
        <v>78</v>
      </c>
      <c r="D101" s="7" t="s">
        <v>51</v>
      </c>
      <c r="E101" s="7" t="s">
        <v>52</v>
      </c>
      <c r="F101" s="7" t="s">
        <v>19</v>
      </c>
      <c r="G101" s="7" t="s">
        <v>20</v>
      </c>
      <c r="H101" s="8" t="n">
        <v>1</v>
      </c>
      <c r="I101" s="8" t="n">
        <v>250</v>
      </c>
      <c r="J101" s="9" t="n">
        <v>0.05</v>
      </c>
      <c r="K101" s="8" t="n">
        <v>237.5</v>
      </c>
      <c r="L101" s="8" t="n">
        <v>71.25</v>
      </c>
      <c r="M101" s="7" t="s">
        <v>28</v>
      </c>
    </row>
    <row r="102" customFormat="false" ht="15" hidden="false" customHeight="false" outlineLevel="0" collapsed="false">
      <c r="A102" s="0" t="s">
        <v>184</v>
      </c>
      <c r="B102" s="6" t="n">
        <v>46139</v>
      </c>
      <c r="C102" s="7" t="s">
        <v>117</v>
      </c>
      <c r="D102" s="7" t="s">
        <v>37</v>
      </c>
      <c r="E102" s="7" t="s">
        <v>38</v>
      </c>
      <c r="F102" s="7" t="s">
        <v>96</v>
      </c>
      <c r="G102" s="7" t="s">
        <v>48</v>
      </c>
      <c r="H102" s="8" t="n">
        <v>5</v>
      </c>
      <c r="I102" s="8" t="n">
        <v>900</v>
      </c>
      <c r="J102" s="9" t="n">
        <v>0.1</v>
      </c>
      <c r="K102" s="8" t="n">
        <v>4050</v>
      </c>
      <c r="L102" s="8" t="n">
        <v>1012.5</v>
      </c>
      <c r="M102" s="7" t="s">
        <v>28</v>
      </c>
    </row>
    <row r="103" customFormat="false" ht="15" hidden="false" customHeight="false" outlineLevel="0" collapsed="false">
      <c r="A103" s="0" t="s">
        <v>185</v>
      </c>
      <c r="B103" s="6" t="n">
        <v>46140</v>
      </c>
      <c r="C103" s="7" t="s">
        <v>70</v>
      </c>
      <c r="D103" s="7" t="s">
        <v>51</v>
      </c>
      <c r="E103" s="7" t="s">
        <v>52</v>
      </c>
      <c r="F103" s="7" t="s">
        <v>26</v>
      </c>
      <c r="G103" s="7" t="s">
        <v>27</v>
      </c>
      <c r="H103" s="8" t="n">
        <v>1</v>
      </c>
      <c r="I103" s="8" t="n">
        <v>25000</v>
      </c>
      <c r="J103" s="9" t="n">
        <v>0.05</v>
      </c>
      <c r="K103" s="8" t="n">
        <v>23750</v>
      </c>
      <c r="L103" s="8" t="n">
        <v>1900</v>
      </c>
      <c r="M103" s="7" t="s">
        <v>21</v>
      </c>
    </row>
    <row r="104" customFormat="false" ht="15" hidden="false" customHeight="false" outlineLevel="0" collapsed="false">
      <c r="A104" s="0" t="s">
        <v>186</v>
      </c>
      <c r="B104" s="6" t="n">
        <v>46141</v>
      </c>
      <c r="C104" s="7" t="s">
        <v>111</v>
      </c>
      <c r="D104" s="7" t="s">
        <v>118</v>
      </c>
      <c r="E104" s="7" t="s">
        <v>38</v>
      </c>
      <c r="F104" s="7" t="s">
        <v>58</v>
      </c>
      <c r="G104" s="7" t="s">
        <v>33</v>
      </c>
      <c r="H104" s="8" t="n">
        <v>3</v>
      </c>
      <c r="I104" s="8" t="n">
        <v>7000</v>
      </c>
      <c r="J104" s="9" t="n">
        <v>0.1</v>
      </c>
      <c r="K104" s="8" t="n">
        <v>18900</v>
      </c>
      <c r="L104" s="8" t="n">
        <v>2835</v>
      </c>
      <c r="M104" s="7" t="s">
        <v>28</v>
      </c>
    </row>
    <row r="105" customFormat="false" ht="15" hidden="false" customHeight="false" outlineLevel="0" collapsed="false">
      <c r="A105" s="0" t="s">
        <v>187</v>
      </c>
      <c r="B105" s="6" t="n">
        <v>46141</v>
      </c>
      <c r="C105" s="7" t="s">
        <v>50</v>
      </c>
      <c r="D105" s="7" t="s">
        <v>45</v>
      </c>
      <c r="E105" s="7" t="s">
        <v>46</v>
      </c>
      <c r="F105" s="7" t="s">
        <v>58</v>
      </c>
      <c r="G105" s="7" t="s">
        <v>33</v>
      </c>
      <c r="H105" s="8" t="n">
        <v>5</v>
      </c>
      <c r="I105" s="8" t="n">
        <v>7000</v>
      </c>
      <c r="J105" s="9" t="n">
        <v>0</v>
      </c>
      <c r="K105" s="8" t="n">
        <v>35000</v>
      </c>
      <c r="L105" s="8" t="n">
        <v>5250</v>
      </c>
      <c r="M105" s="7" t="s">
        <v>34</v>
      </c>
    </row>
    <row r="106" customFormat="false" ht="15" hidden="false" customHeight="false" outlineLevel="0" collapsed="false">
      <c r="A106" s="0" t="s">
        <v>188</v>
      </c>
      <c r="B106" s="6" t="n">
        <v>46142</v>
      </c>
      <c r="C106" s="7" t="s">
        <v>111</v>
      </c>
      <c r="D106" s="7" t="s">
        <v>118</v>
      </c>
      <c r="E106" s="7" t="s">
        <v>38</v>
      </c>
      <c r="F106" s="7" t="s">
        <v>19</v>
      </c>
      <c r="G106" s="7" t="s">
        <v>20</v>
      </c>
      <c r="H106" s="8" t="n">
        <v>2</v>
      </c>
      <c r="I106" s="8" t="n">
        <v>250</v>
      </c>
      <c r="J106" s="9" t="n">
        <v>0.15</v>
      </c>
      <c r="K106" s="8" t="n">
        <v>425</v>
      </c>
      <c r="L106" s="8" t="n">
        <v>127.5</v>
      </c>
      <c r="M106" s="7" t="s">
        <v>21</v>
      </c>
    </row>
    <row r="107" customFormat="false" ht="15" hidden="false" customHeight="false" outlineLevel="0" collapsed="false">
      <c r="A107" s="0" t="s">
        <v>189</v>
      </c>
      <c r="B107" s="6" t="n">
        <v>46143</v>
      </c>
      <c r="C107" s="7" t="s">
        <v>87</v>
      </c>
      <c r="D107" s="7" t="s">
        <v>71</v>
      </c>
      <c r="E107" s="7" t="s">
        <v>71</v>
      </c>
      <c r="F107" s="7" t="s">
        <v>62</v>
      </c>
      <c r="G107" s="7" t="s">
        <v>27</v>
      </c>
      <c r="H107" s="8" t="n">
        <v>3</v>
      </c>
      <c r="I107" s="8" t="n">
        <v>55000</v>
      </c>
      <c r="J107" s="9" t="n">
        <v>0.05</v>
      </c>
      <c r="K107" s="8" t="n">
        <v>156750</v>
      </c>
      <c r="L107" s="8" t="n">
        <v>15675</v>
      </c>
      <c r="M107" s="7" t="s">
        <v>34</v>
      </c>
    </row>
    <row r="108" customFormat="false" ht="15" hidden="false" customHeight="false" outlineLevel="0" collapsed="false">
      <c r="A108" s="0" t="s">
        <v>190</v>
      </c>
      <c r="B108" s="6" t="n">
        <v>46144</v>
      </c>
      <c r="C108" s="7" t="s">
        <v>50</v>
      </c>
      <c r="D108" s="7" t="s">
        <v>51</v>
      </c>
      <c r="E108" s="7" t="s">
        <v>52</v>
      </c>
      <c r="F108" s="7" t="s">
        <v>58</v>
      </c>
      <c r="G108" s="7" t="s">
        <v>33</v>
      </c>
      <c r="H108" s="8" t="n">
        <v>4</v>
      </c>
      <c r="I108" s="8" t="n">
        <v>7000</v>
      </c>
      <c r="J108" s="9" t="n">
        <v>0.05</v>
      </c>
      <c r="K108" s="8" t="n">
        <v>26600</v>
      </c>
      <c r="L108" s="8" t="n">
        <v>3990</v>
      </c>
      <c r="M108" s="7" t="s">
        <v>28</v>
      </c>
    </row>
    <row r="109" customFormat="false" ht="15" hidden="false" customHeight="false" outlineLevel="0" collapsed="false">
      <c r="A109" s="0" t="s">
        <v>191</v>
      </c>
      <c r="B109" s="6" t="n">
        <v>46145</v>
      </c>
      <c r="C109" s="7" t="s">
        <v>36</v>
      </c>
      <c r="D109" s="7" t="s">
        <v>41</v>
      </c>
      <c r="E109" s="7" t="s">
        <v>42</v>
      </c>
      <c r="F109" s="7" t="s">
        <v>43</v>
      </c>
      <c r="G109" s="7" t="s">
        <v>27</v>
      </c>
      <c r="H109" s="8" t="n">
        <v>1</v>
      </c>
      <c r="I109" s="8" t="n">
        <v>2500</v>
      </c>
      <c r="J109" s="9" t="n">
        <v>0.1</v>
      </c>
      <c r="K109" s="8" t="n">
        <v>2250</v>
      </c>
      <c r="L109" s="8" t="n">
        <v>450</v>
      </c>
      <c r="M109" s="7" t="s">
        <v>28</v>
      </c>
    </row>
    <row r="110" customFormat="false" ht="15" hidden="false" customHeight="false" outlineLevel="0" collapsed="false">
      <c r="A110" s="0" t="s">
        <v>192</v>
      </c>
      <c r="B110" s="6" t="n">
        <v>46147</v>
      </c>
      <c r="C110" s="7" t="s">
        <v>23</v>
      </c>
      <c r="D110" s="7" t="s">
        <v>41</v>
      </c>
      <c r="E110" s="7" t="s">
        <v>42</v>
      </c>
      <c r="F110" s="7" t="s">
        <v>85</v>
      </c>
      <c r="G110" s="7" t="s">
        <v>20</v>
      </c>
      <c r="H110" s="8" t="n">
        <v>4</v>
      </c>
      <c r="I110" s="8" t="n">
        <v>180</v>
      </c>
      <c r="J110" s="9" t="n">
        <v>0</v>
      </c>
      <c r="K110" s="8" t="n">
        <v>720</v>
      </c>
      <c r="L110" s="8" t="n">
        <v>201.6</v>
      </c>
      <c r="M110" s="7" t="s">
        <v>68</v>
      </c>
    </row>
    <row r="111" customFormat="false" ht="15" hidden="false" customHeight="false" outlineLevel="0" collapsed="false">
      <c r="A111" s="0" t="s">
        <v>193</v>
      </c>
      <c r="B111" s="6" t="n">
        <v>46149</v>
      </c>
      <c r="C111" s="7" t="s">
        <v>67</v>
      </c>
      <c r="D111" s="7" t="s">
        <v>81</v>
      </c>
      <c r="E111" s="7" t="s">
        <v>18</v>
      </c>
      <c r="F111" s="7" t="s">
        <v>43</v>
      </c>
      <c r="G111" s="7" t="s">
        <v>27</v>
      </c>
      <c r="H111" s="8" t="n">
        <v>1</v>
      </c>
      <c r="I111" s="8" t="n">
        <v>2500</v>
      </c>
      <c r="J111" s="9" t="n">
        <v>0</v>
      </c>
      <c r="K111" s="8" t="n">
        <v>2500</v>
      </c>
      <c r="L111" s="8" t="n">
        <v>500</v>
      </c>
      <c r="M111" s="7" t="s">
        <v>28</v>
      </c>
    </row>
    <row r="112" customFormat="false" ht="15" hidden="false" customHeight="false" outlineLevel="0" collapsed="false">
      <c r="A112" s="0" t="s">
        <v>194</v>
      </c>
      <c r="B112" s="6" t="n">
        <v>46152</v>
      </c>
      <c r="C112" s="7" t="s">
        <v>36</v>
      </c>
      <c r="D112" s="7" t="s">
        <v>30</v>
      </c>
      <c r="E112" s="7" t="s">
        <v>31</v>
      </c>
      <c r="F112" s="7" t="s">
        <v>62</v>
      </c>
      <c r="G112" s="7" t="s">
        <v>27</v>
      </c>
      <c r="H112" s="8" t="n">
        <v>4</v>
      </c>
      <c r="I112" s="8" t="n">
        <v>55000</v>
      </c>
      <c r="J112" s="9" t="n">
        <v>0.15</v>
      </c>
      <c r="K112" s="8" t="n">
        <v>187000</v>
      </c>
      <c r="L112" s="8" t="n">
        <v>18700</v>
      </c>
      <c r="M112" s="7" t="s">
        <v>34</v>
      </c>
    </row>
    <row r="113" customFormat="false" ht="15" hidden="false" customHeight="false" outlineLevel="0" collapsed="false">
      <c r="A113" s="0" t="s">
        <v>195</v>
      </c>
      <c r="B113" s="6" t="n">
        <v>46152</v>
      </c>
      <c r="C113" s="7" t="s">
        <v>60</v>
      </c>
      <c r="D113" s="7" t="s">
        <v>104</v>
      </c>
      <c r="E113" s="7" t="s">
        <v>18</v>
      </c>
      <c r="F113" s="7" t="s">
        <v>79</v>
      </c>
      <c r="G113" s="7" t="s">
        <v>33</v>
      </c>
      <c r="H113" s="8" t="n">
        <v>4</v>
      </c>
      <c r="I113" s="8" t="n">
        <v>8500</v>
      </c>
      <c r="J113" s="9" t="n">
        <v>0.1</v>
      </c>
      <c r="K113" s="8" t="n">
        <v>30600</v>
      </c>
      <c r="L113" s="8" t="n">
        <v>4284</v>
      </c>
      <c r="M113" s="7" t="s">
        <v>21</v>
      </c>
    </row>
    <row r="114" customFormat="false" ht="15" hidden="false" customHeight="false" outlineLevel="0" collapsed="false">
      <c r="A114" s="0" t="s">
        <v>196</v>
      </c>
      <c r="B114" s="6" t="n">
        <v>46153</v>
      </c>
      <c r="C114" s="7" t="s">
        <v>55</v>
      </c>
      <c r="D114" s="7" t="s">
        <v>118</v>
      </c>
      <c r="E114" s="7" t="s">
        <v>38</v>
      </c>
      <c r="F114" s="7" t="s">
        <v>26</v>
      </c>
      <c r="G114" s="7" t="s">
        <v>27</v>
      </c>
      <c r="H114" s="8" t="n">
        <v>5</v>
      </c>
      <c r="I114" s="8" t="n">
        <v>25000</v>
      </c>
      <c r="J114" s="9" t="n">
        <v>0</v>
      </c>
      <c r="K114" s="8" t="n">
        <v>125000</v>
      </c>
      <c r="L114" s="8" t="n">
        <v>10000</v>
      </c>
      <c r="M114" s="7" t="s">
        <v>68</v>
      </c>
    </row>
    <row r="115" customFormat="false" ht="15" hidden="false" customHeight="false" outlineLevel="0" collapsed="false">
      <c r="A115" s="0" t="s">
        <v>197</v>
      </c>
      <c r="B115" s="6" t="n">
        <v>46153</v>
      </c>
      <c r="C115" s="7" t="s">
        <v>50</v>
      </c>
      <c r="D115" s="7" t="s">
        <v>41</v>
      </c>
      <c r="E115" s="7" t="s">
        <v>42</v>
      </c>
      <c r="F115" s="7" t="s">
        <v>19</v>
      </c>
      <c r="G115" s="7" t="s">
        <v>20</v>
      </c>
      <c r="H115" s="8" t="n">
        <v>1</v>
      </c>
      <c r="I115" s="8" t="n">
        <v>250</v>
      </c>
      <c r="J115" s="9" t="n">
        <v>0</v>
      </c>
      <c r="K115" s="8" t="n">
        <v>250</v>
      </c>
      <c r="L115" s="8" t="n">
        <v>75</v>
      </c>
      <c r="M115" s="7" t="s">
        <v>68</v>
      </c>
    </row>
    <row r="116" customFormat="false" ht="15" hidden="false" customHeight="false" outlineLevel="0" collapsed="false">
      <c r="A116" s="0" t="s">
        <v>198</v>
      </c>
      <c r="B116" s="6" t="n">
        <v>46155</v>
      </c>
      <c r="C116" s="7" t="s">
        <v>101</v>
      </c>
      <c r="D116" s="7" t="s">
        <v>17</v>
      </c>
      <c r="E116" s="7" t="s">
        <v>18</v>
      </c>
      <c r="F116" s="7" t="s">
        <v>19</v>
      </c>
      <c r="G116" s="7" t="s">
        <v>20</v>
      </c>
      <c r="H116" s="8" t="n">
        <v>4</v>
      </c>
      <c r="I116" s="8" t="n">
        <v>250</v>
      </c>
      <c r="J116" s="9" t="n">
        <v>0.15</v>
      </c>
      <c r="K116" s="8" t="n">
        <v>850</v>
      </c>
      <c r="L116" s="8" t="n">
        <v>255</v>
      </c>
      <c r="M116" s="7" t="s">
        <v>34</v>
      </c>
    </row>
    <row r="117" customFormat="false" ht="15" hidden="false" customHeight="false" outlineLevel="0" collapsed="false">
      <c r="A117" s="0" t="s">
        <v>199</v>
      </c>
      <c r="B117" s="6" t="n">
        <v>46158</v>
      </c>
      <c r="C117" s="7" t="s">
        <v>101</v>
      </c>
      <c r="D117" s="7" t="s">
        <v>98</v>
      </c>
      <c r="E117" s="7" t="s">
        <v>99</v>
      </c>
      <c r="F117" s="7" t="s">
        <v>32</v>
      </c>
      <c r="G117" s="7" t="s">
        <v>33</v>
      </c>
      <c r="H117" s="8" t="n">
        <v>2</v>
      </c>
      <c r="I117" s="8" t="n">
        <v>12000</v>
      </c>
      <c r="J117" s="9" t="n">
        <v>0.05</v>
      </c>
      <c r="K117" s="8" t="n">
        <v>22800</v>
      </c>
      <c r="L117" s="8" t="n">
        <v>2736</v>
      </c>
      <c r="M117" s="7" t="s">
        <v>39</v>
      </c>
    </row>
    <row r="118" customFormat="false" ht="15" hidden="false" customHeight="false" outlineLevel="0" collapsed="false">
      <c r="A118" s="0" t="s">
        <v>200</v>
      </c>
      <c r="B118" s="6" t="n">
        <v>46161</v>
      </c>
      <c r="C118" s="7" t="s">
        <v>117</v>
      </c>
      <c r="D118" s="7" t="s">
        <v>41</v>
      </c>
      <c r="E118" s="7" t="s">
        <v>42</v>
      </c>
      <c r="F118" s="7" t="s">
        <v>26</v>
      </c>
      <c r="G118" s="7" t="s">
        <v>27</v>
      </c>
      <c r="H118" s="8" t="n">
        <v>5</v>
      </c>
      <c r="I118" s="8" t="n">
        <v>25000</v>
      </c>
      <c r="J118" s="9" t="n">
        <v>0</v>
      </c>
      <c r="K118" s="8" t="n">
        <v>125000</v>
      </c>
      <c r="L118" s="8" t="n">
        <v>10000</v>
      </c>
      <c r="M118" s="7" t="s">
        <v>28</v>
      </c>
    </row>
    <row r="119" customFormat="false" ht="15" hidden="false" customHeight="false" outlineLevel="0" collapsed="false">
      <c r="A119" s="0" t="s">
        <v>201</v>
      </c>
      <c r="B119" s="6" t="n">
        <v>46161</v>
      </c>
      <c r="C119" s="7" t="s">
        <v>60</v>
      </c>
      <c r="D119" s="7" t="s">
        <v>41</v>
      </c>
      <c r="E119" s="7" t="s">
        <v>42</v>
      </c>
      <c r="F119" s="7" t="s">
        <v>62</v>
      </c>
      <c r="G119" s="7" t="s">
        <v>27</v>
      </c>
      <c r="H119" s="8" t="n">
        <v>2</v>
      </c>
      <c r="I119" s="8" t="n">
        <v>55000</v>
      </c>
      <c r="J119" s="9" t="n">
        <v>0.15</v>
      </c>
      <c r="K119" s="8" t="n">
        <v>93500</v>
      </c>
      <c r="L119" s="8" t="n">
        <v>9350</v>
      </c>
      <c r="M119" s="7" t="s">
        <v>28</v>
      </c>
    </row>
    <row r="120" customFormat="false" ht="15" hidden="false" customHeight="false" outlineLevel="0" collapsed="false">
      <c r="A120" s="0" t="s">
        <v>202</v>
      </c>
      <c r="B120" s="6" t="n">
        <v>46164</v>
      </c>
      <c r="C120" s="7" t="s">
        <v>87</v>
      </c>
      <c r="D120" s="7" t="s">
        <v>71</v>
      </c>
      <c r="E120" s="7" t="s">
        <v>71</v>
      </c>
      <c r="F120" s="7" t="s">
        <v>32</v>
      </c>
      <c r="G120" s="7" t="s">
        <v>33</v>
      </c>
      <c r="H120" s="8" t="n">
        <v>1</v>
      </c>
      <c r="I120" s="8" t="n">
        <v>12000</v>
      </c>
      <c r="J120" s="9" t="n">
        <v>0.05</v>
      </c>
      <c r="K120" s="8" t="n">
        <v>11400</v>
      </c>
      <c r="L120" s="8" t="n">
        <v>1368</v>
      </c>
      <c r="M120" s="7" t="s">
        <v>34</v>
      </c>
    </row>
    <row r="121" customFormat="false" ht="15" hidden="false" customHeight="false" outlineLevel="0" collapsed="false">
      <c r="A121" s="0" t="s">
        <v>203</v>
      </c>
      <c r="B121" s="6" t="n">
        <v>46164</v>
      </c>
      <c r="C121" s="7" t="s">
        <v>60</v>
      </c>
      <c r="D121" s="7" t="s">
        <v>37</v>
      </c>
      <c r="E121" s="7" t="s">
        <v>38</v>
      </c>
      <c r="F121" s="7" t="s">
        <v>43</v>
      </c>
      <c r="G121" s="7" t="s">
        <v>27</v>
      </c>
      <c r="H121" s="8" t="n">
        <v>1</v>
      </c>
      <c r="I121" s="8" t="n">
        <v>2500</v>
      </c>
      <c r="J121" s="9" t="n">
        <v>0.1</v>
      </c>
      <c r="K121" s="8" t="n">
        <v>2250</v>
      </c>
      <c r="L121" s="8" t="n">
        <v>450</v>
      </c>
      <c r="M121" s="7" t="s">
        <v>39</v>
      </c>
    </row>
    <row r="122" customFormat="false" ht="15" hidden="false" customHeight="false" outlineLevel="0" collapsed="false">
      <c r="A122" s="0" t="s">
        <v>204</v>
      </c>
      <c r="B122" s="6" t="n">
        <v>46164</v>
      </c>
      <c r="C122" s="7" t="s">
        <v>60</v>
      </c>
      <c r="D122" s="7" t="s">
        <v>61</v>
      </c>
      <c r="E122" s="7" t="s">
        <v>57</v>
      </c>
      <c r="F122" s="7" t="s">
        <v>90</v>
      </c>
      <c r="G122" s="7" t="s">
        <v>27</v>
      </c>
      <c r="H122" s="8" t="n">
        <v>1</v>
      </c>
      <c r="I122" s="8" t="n">
        <v>12000</v>
      </c>
      <c r="J122" s="9" t="n">
        <v>0</v>
      </c>
      <c r="K122" s="8" t="n">
        <v>12000</v>
      </c>
      <c r="L122" s="8" t="n">
        <v>1200</v>
      </c>
      <c r="M122" s="7" t="s">
        <v>34</v>
      </c>
    </row>
    <row r="123" customFormat="false" ht="15" hidden="false" customHeight="false" outlineLevel="0" collapsed="false">
      <c r="A123" s="0" t="s">
        <v>205</v>
      </c>
      <c r="B123" s="6" t="n">
        <v>46165</v>
      </c>
      <c r="C123" s="7" t="s">
        <v>67</v>
      </c>
      <c r="D123" s="7" t="s">
        <v>56</v>
      </c>
      <c r="E123" s="7" t="s">
        <v>57</v>
      </c>
      <c r="F123" s="7" t="s">
        <v>47</v>
      </c>
      <c r="G123" s="7" t="s">
        <v>48</v>
      </c>
      <c r="H123" s="8" t="n">
        <v>4</v>
      </c>
      <c r="I123" s="8" t="n">
        <v>800</v>
      </c>
      <c r="J123" s="9" t="n">
        <v>0.15</v>
      </c>
      <c r="K123" s="8" t="n">
        <v>2720</v>
      </c>
      <c r="L123" s="8" t="n">
        <v>652.8</v>
      </c>
      <c r="M123" s="7" t="s">
        <v>28</v>
      </c>
    </row>
    <row r="124" customFormat="false" ht="15" hidden="false" customHeight="false" outlineLevel="0" collapsed="false">
      <c r="A124" s="0" t="s">
        <v>206</v>
      </c>
      <c r="B124" s="6" t="n">
        <v>46167</v>
      </c>
      <c r="C124" s="7" t="s">
        <v>64</v>
      </c>
      <c r="D124" s="7" t="s">
        <v>98</v>
      </c>
      <c r="E124" s="7" t="s">
        <v>99</v>
      </c>
      <c r="F124" s="7" t="s">
        <v>92</v>
      </c>
      <c r="G124" s="7" t="s">
        <v>93</v>
      </c>
      <c r="H124" s="8" t="n">
        <v>5</v>
      </c>
      <c r="I124" s="8" t="n">
        <v>1600</v>
      </c>
      <c r="J124" s="9" t="n">
        <v>0.15</v>
      </c>
      <c r="K124" s="8" t="n">
        <v>6800</v>
      </c>
      <c r="L124" s="8" t="n">
        <v>1360</v>
      </c>
      <c r="M124" s="7" t="s">
        <v>39</v>
      </c>
    </row>
    <row r="125" customFormat="false" ht="15" hidden="false" customHeight="false" outlineLevel="0" collapsed="false">
      <c r="A125" s="0" t="s">
        <v>207</v>
      </c>
      <c r="B125" s="6" t="n">
        <v>46168</v>
      </c>
      <c r="C125" s="7" t="s">
        <v>64</v>
      </c>
      <c r="D125" s="7" t="s">
        <v>51</v>
      </c>
      <c r="E125" s="7" t="s">
        <v>52</v>
      </c>
      <c r="F125" s="7" t="s">
        <v>82</v>
      </c>
      <c r="G125" s="7" t="s">
        <v>48</v>
      </c>
      <c r="H125" s="8" t="n">
        <v>1</v>
      </c>
      <c r="I125" s="8" t="n">
        <v>2200</v>
      </c>
      <c r="J125" s="9" t="n">
        <v>0.05</v>
      </c>
      <c r="K125" s="8" t="n">
        <v>2090</v>
      </c>
      <c r="L125" s="8" t="n">
        <v>459.8</v>
      </c>
      <c r="M125" s="7" t="s">
        <v>68</v>
      </c>
    </row>
    <row r="126" customFormat="false" ht="15" hidden="false" customHeight="false" outlineLevel="0" collapsed="false">
      <c r="A126" s="0" t="s">
        <v>208</v>
      </c>
      <c r="B126" s="6" t="n">
        <v>46168</v>
      </c>
      <c r="C126" s="7" t="s">
        <v>162</v>
      </c>
      <c r="D126" s="7" t="s">
        <v>104</v>
      </c>
      <c r="E126" s="7" t="s">
        <v>18</v>
      </c>
      <c r="F126" s="7" t="s">
        <v>90</v>
      </c>
      <c r="G126" s="7" t="s">
        <v>27</v>
      </c>
      <c r="H126" s="8" t="n">
        <v>1</v>
      </c>
      <c r="I126" s="8" t="n">
        <v>12000</v>
      </c>
      <c r="J126" s="9" t="n">
        <v>0.1</v>
      </c>
      <c r="K126" s="8" t="n">
        <v>10800</v>
      </c>
      <c r="L126" s="8" t="n">
        <v>1080</v>
      </c>
      <c r="M126" s="7" t="s">
        <v>39</v>
      </c>
    </row>
    <row r="127" customFormat="false" ht="15" hidden="false" customHeight="false" outlineLevel="0" collapsed="false">
      <c r="A127" s="0" t="s">
        <v>209</v>
      </c>
      <c r="B127" s="6" t="n">
        <v>46174</v>
      </c>
      <c r="C127" s="7" t="s">
        <v>109</v>
      </c>
      <c r="D127" s="7" t="s">
        <v>17</v>
      </c>
      <c r="E127" s="7" t="s">
        <v>18</v>
      </c>
      <c r="F127" s="7" t="s">
        <v>85</v>
      </c>
      <c r="G127" s="7" t="s">
        <v>20</v>
      </c>
      <c r="H127" s="8" t="n">
        <v>4</v>
      </c>
      <c r="I127" s="8" t="n">
        <v>180</v>
      </c>
      <c r="J127" s="9" t="n">
        <v>0</v>
      </c>
      <c r="K127" s="8" t="n">
        <v>720</v>
      </c>
      <c r="L127" s="8" t="n">
        <v>201.6</v>
      </c>
      <c r="M127" s="7" t="s">
        <v>21</v>
      </c>
    </row>
    <row r="128" customFormat="false" ht="15" hidden="false" customHeight="false" outlineLevel="0" collapsed="false">
      <c r="A128" s="0" t="s">
        <v>210</v>
      </c>
      <c r="B128" s="6" t="n">
        <v>46175</v>
      </c>
      <c r="C128" s="7" t="s">
        <v>113</v>
      </c>
      <c r="D128" s="7" t="s">
        <v>41</v>
      </c>
      <c r="E128" s="7" t="s">
        <v>42</v>
      </c>
      <c r="F128" s="7" t="s">
        <v>65</v>
      </c>
      <c r="G128" s="7" t="s">
        <v>27</v>
      </c>
      <c r="H128" s="8" t="n">
        <v>5</v>
      </c>
      <c r="I128" s="8" t="n">
        <v>14000</v>
      </c>
      <c r="J128" s="9" t="n">
        <v>0</v>
      </c>
      <c r="K128" s="8" t="n">
        <v>70000</v>
      </c>
      <c r="L128" s="8" t="n">
        <v>8400</v>
      </c>
      <c r="M128" s="7" t="s">
        <v>34</v>
      </c>
    </row>
    <row r="129" customFormat="false" ht="15" hidden="false" customHeight="false" outlineLevel="0" collapsed="false">
      <c r="A129" s="0" t="s">
        <v>211</v>
      </c>
      <c r="B129" s="6" t="n">
        <v>46177</v>
      </c>
      <c r="C129" s="7" t="s">
        <v>87</v>
      </c>
      <c r="D129" s="7" t="s">
        <v>71</v>
      </c>
      <c r="E129" s="7" t="s">
        <v>71</v>
      </c>
      <c r="F129" s="7" t="s">
        <v>53</v>
      </c>
      <c r="G129" s="7" t="s">
        <v>27</v>
      </c>
      <c r="H129" s="8" t="n">
        <v>5</v>
      </c>
      <c r="I129" s="8" t="n">
        <v>1800</v>
      </c>
      <c r="J129" s="9" t="n">
        <v>0.15</v>
      </c>
      <c r="K129" s="8" t="n">
        <v>7650</v>
      </c>
      <c r="L129" s="8" t="n">
        <v>1377</v>
      </c>
      <c r="M129" s="7" t="s">
        <v>68</v>
      </c>
    </row>
    <row r="130" customFormat="false" ht="15" hidden="false" customHeight="false" outlineLevel="0" collapsed="false">
      <c r="A130" s="0" t="s">
        <v>212</v>
      </c>
      <c r="B130" s="6" t="n">
        <v>46178</v>
      </c>
      <c r="C130" s="7" t="s">
        <v>111</v>
      </c>
      <c r="D130" s="7" t="s">
        <v>45</v>
      </c>
      <c r="E130" s="7" t="s">
        <v>46</v>
      </c>
      <c r="F130" s="7" t="s">
        <v>79</v>
      </c>
      <c r="G130" s="7" t="s">
        <v>33</v>
      </c>
      <c r="H130" s="8" t="n">
        <v>2</v>
      </c>
      <c r="I130" s="8" t="n">
        <v>8500</v>
      </c>
      <c r="J130" s="9" t="n">
        <v>0</v>
      </c>
      <c r="K130" s="8" t="n">
        <v>17000</v>
      </c>
      <c r="L130" s="8" t="n">
        <v>2380</v>
      </c>
      <c r="M130" s="7" t="s">
        <v>21</v>
      </c>
    </row>
    <row r="131" customFormat="false" ht="15" hidden="false" customHeight="false" outlineLevel="0" collapsed="false">
      <c r="A131" s="0" t="s">
        <v>213</v>
      </c>
      <c r="B131" s="6" t="n">
        <v>46179</v>
      </c>
      <c r="C131" s="7" t="s">
        <v>113</v>
      </c>
      <c r="D131" s="7" t="s">
        <v>98</v>
      </c>
      <c r="E131" s="7" t="s">
        <v>99</v>
      </c>
      <c r="F131" s="7" t="s">
        <v>32</v>
      </c>
      <c r="G131" s="7" t="s">
        <v>33</v>
      </c>
      <c r="H131" s="8" t="n">
        <v>5</v>
      </c>
      <c r="I131" s="8" t="n">
        <v>12000</v>
      </c>
      <c r="J131" s="9" t="n">
        <v>0.15</v>
      </c>
      <c r="K131" s="8" t="n">
        <v>51000</v>
      </c>
      <c r="L131" s="8" t="n">
        <v>6120</v>
      </c>
      <c r="M131" s="7" t="s">
        <v>68</v>
      </c>
    </row>
    <row r="132" customFormat="false" ht="15" hidden="false" customHeight="false" outlineLevel="0" collapsed="false">
      <c r="A132" s="0" t="s">
        <v>214</v>
      </c>
      <c r="B132" s="6" t="n">
        <v>46181</v>
      </c>
      <c r="C132" s="7" t="s">
        <v>111</v>
      </c>
      <c r="D132" s="7" t="s">
        <v>104</v>
      </c>
      <c r="E132" s="7" t="s">
        <v>18</v>
      </c>
      <c r="F132" s="7" t="s">
        <v>96</v>
      </c>
      <c r="G132" s="7" t="s">
        <v>48</v>
      </c>
      <c r="H132" s="8" t="n">
        <v>1</v>
      </c>
      <c r="I132" s="8" t="n">
        <v>900</v>
      </c>
      <c r="J132" s="9" t="n">
        <v>0</v>
      </c>
      <c r="K132" s="8" t="n">
        <v>900</v>
      </c>
      <c r="L132" s="8" t="n">
        <v>225</v>
      </c>
      <c r="M132" s="7" t="s">
        <v>39</v>
      </c>
    </row>
    <row r="133" customFormat="false" ht="15" hidden="false" customHeight="false" outlineLevel="0" collapsed="false">
      <c r="A133" s="0" t="s">
        <v>215</v>
      </c>
      <c r="B133" s="6" t="n">
        <v>46182</v>
      </c>
      <c r="C133" s="7" t="s">
        <v>76</v>
      </c>
      <c r="D133" s="7" t="s">
        <v>24</v>
      </c>
      <c r="E133" s="7" t="s">
        <v>25</v>
      </c>
      <c r="F133" s="7" t="s">
        <v>92</v>
      </c>
      <c r="G133" s="7" t="s">
        <v>93</v>
      </c>
      <c r="H133" s="8" t="n">
        <v>4</v>
      </c>
      <c r="I133" s="8" t="n">
        <v>1600</v>
      </c>
      <c r="J133" s="9" t="n">
        <v>0</v>
      </c>
      <c r="K133" s="8" t="n">
        <v>6400</v>
      </c>
      <c r="L133" s="8" t="n">
        <v>1280</v>
      </c>
      <c r="M133" s="7" t="s">
        <v>34</v>
      </c>
    </row>
    <row r="134" customFormat="false" ht="15" hidden="false" customHeight="false" outlineLevel="0" collapsed="false">
      <c r="A134" s="0" t="s">
        <v>216</v>
      </c>
      <c r="B134" s="6" t="n">
        <v>46183</v>
      </c>
      <c r="C134" s="7" t="s">
        <v>60</v>
      </c>
      <c r="D134" s="7" t="s">
        <v>37</v>
      </c>
      <c r="E134" s="7" t="s">
        <v>38</v>
      </c>
      <c r="F134" s="7" t="s">
        <v>82</v>
      </c>
      <c r="G134" s="7" t="s">
        <v>48</v>
      </c>
      <c r="H134" s="8" t="n">
        <v>1</v>
      </c>
      <c r="I134" s="8" t="n">
        <v>2200</v>
      </c>
      <c r="J134" s="9" t="n">
        <v>0.15</v>
      </c>
      <c r="K134" s="8" t="n">
        <v>1870</v>
      </c>
      <c r="L134" s="8" t="n">
        <v>411.4</v>
      </c>
      <c r="M134" s="7" t="s">
        <v>28</v>
      </c>
    </row>
    <row r="135" customFormat="false" ht="15" hidden="false" customHeight="false" outlineLevel="0" collapsed="false">
      <c r="A135" s="0" t="s">
        <v>217</v>
      </c>
      <c r="B135" s="6" t="n">
        <v>46184</v>
      </c>
      <c r="C135" s="7" t="s">
        <v>64</v>
      </c>
      <c r="D135" s="7" t="s">
        <v>30</v>
      </c>
      <c r="E135" s="7" t="s">
        <v>31</v>
      </c>
      <c r="F135" s="7" t="s">
        <v>43</v>
      </c>
      <c r="G135" s="7" t="s">
        <v>27</v>
      </c>
      <c r="H135" s="8" t="n">
        <v>2</v>
      </c>
      <c r="I135" s="8" t="n">
        <v>2500</v>
      </c>
      <c r="J135" s="9" t="n">
        <v>0.1</v>
      </c>
      <c r="K135" s="8" t="n">
        <v>4500</v>
      </c>
      <c r="L135" s="8" t="n">
        <v>900</v>
      </c>
      <c r="M135" s="7" t="s">
        <v>34</v>
      </c>
    </row>
    <row r="136" customFormat="false" ht="15" hidden="false" customHeight="false" outlineLevel="0" collapsed="false">
      <c r="A136" s="0" t="s">
        <v>218</v>
      </c>
      <c r="B136" s="6" t="n">
        <v>46185</v>
      </c>
      <c r="C136" s="7" t="s">
        <v>87</v>
      </c>
      <c r="D136" s="7" t="s">
        <v>37</v>
      </c>
      <c r="E136" s="7" t="s">
        <v>38</v>
      </c>
      <c r="F136" s="7" t="s">
        <v>47</v>
      </c>
      <c r="G136" s="7" t="s">
        <v>48</v>
      </c>
      <c r="H136" s="8" t="n">
        <v>2</v>
      </c>
      <c r="I136" s="8" t="n">
        <v>800</v>
      </c>
      <c r="J136" s="9" t="n">
        <v>0.05</v>
      </c>
      <c r="K136" s="8" t="n">
        <v>1520</v>
      </c>
      <c r="L136" s="8" t="n">
        <v>364.8</v>
      </c>
      <c r="M136" s="7" t="s">
        <v>28</v>
      </c>
    </row>
    <row r="137" customFormat="false" ht="15" hidden="false" customHeight="false" outlineLevel="0" collapsed="false">
      <c r="A137" s="0" t="s">
        <v>219</v>
      </c>
      <c r="B137" s="6" t="n">
        <v>46186</v>
      </c>
      <c r="C137" s="7" t="s">
        <v>76</v>
      </c>
      <c r="D137" s="7" t="s">
        <v>118</v>
      </c>
      <c r="E137" s="7" t="s">
        <v>38</v>
      </c>
      <c r="F137" s="7" t="s">
        <v>47</v>
      </c>
      <c r="G137" s="7" t="s">
        <v>48</v>
      </c>
      <c r="H137" s="8" t="n">
        <v>3</v>
      </c>
      <c r="I137" s="8" t="n">
        <v>800</v>
      </c>
      <c r="J137" s="9" t="n">
        <v>0.05</v>
      </c>
      <c r="K137" s="8" t="n">
        <v>2280</v>
      </c>
      <c r="L137" s="8" t="n">
        <v>547.2</v>
      </c>
      <c r="M137" s="7" t="s">
        <v>68</v>
      </c>
    </row>
    <row r="138" customFormat="false" ht="15" hidden="false" customHeight="false" outlineLevel="0" collapsed="false">
      <c r="A138" s="0" t="s">
        <v>220</v>
      </c>
      <c r="B138" s="6" t="n">
        <v>46186</v>
      </c>
      <c r="C138" s="7" t="s">
        <v>138</v>
      </c>
      <c r="D138" s="7" t="s">
        <v>98</v>
      </c>
      <c r="E138" s="7" t="s">
        <v>99</v>
      </c>
      <c r="F138" s="7" t="s">
        <v>26</v>
      </c>
      <c r="G138" s="7" t="s">
        <v>27</v>
      </c>
      <c r="H138" s="8" t="n">
        <v>1</v>
      </c>
      <c r="I138" s="8" t="n">
        <v>25000</v>
      </c>
      <c r="J138" s="9" t="n">
        <v>0.1</v>
      </c>
      <c r="K138" s="8" t="n">
        <v>22500</v>
      </c>
      <c r="L138" s="8" t="n">
        <v>1800</v>
      </c>
      <c r="M138" s="7" t="s">
        <v>28</v>
      </c>
    </row>
    <row r="139" customFormat="false" ht="15" hidden="false" customHeight="false" outlineLevel="0" collapsed="false">
      <c r="A139" s="0" t="s">
        <v>221</v>
      </c>
      <c r="B139" s="6" t="n">
        <v>46187</v>
      </c>
      <c r="C139" s="7" t="s">
        <v>111</v>
      </c>
      <c r="D139" s="7" t="s">
        <v>81</v>
      </c>
      <c r="E139" s="7" t="s">
        <v>18</v>
      </c>
      <c r="F139" s="7" t="s">
        <v>85</v>
      </c>
      <c r="G139" s="7" t="s">
        <v>20</v>
      </c>
      <c r="H139" s="8" t="n">
        <v>4</v>
      </c>
      <c r="I139" s="8" t="n">
        <v>180</v>
      </c>
      <c r="J139" s="9" t="n">
        <v>0.05</v>
      </c>
      <c r="K139" s="8" t="n">
        <v>684</v>
      </c>
      <c r="L139" s="8" t="n">
        <v>191.52</v>
      </c>
      <c r="M139" s="7" t="s">
        <v>34</v>
      </c>
    </row>
    <row r="140" customFormat="false" ht="15" hidden="false" customHeight="false" outlineLevel="0" collapsed="false">
      <c r="A140" s="0" t="s">
        <v>222</v>
      </c>
      <c r="B140" s="6" t="n">
        <v>46187</v>
      </c>
      <c r="C140" s="7" t="s">
        <v>101</v>
      </c>
      <c r="D140" s="7" t="s">
        <v>30</v>
      </c>
      <c r="E140" s="7" t="s">
        <v>31</v>
      </c>
      <c r="F140" s="7" t="s">
        <v>62</v>
      </c>
      <c r="G140" s="7" t="s">
        <v>27</v>
      </c>
      <c r="H140" s="8" t="n">
        <v>1</v>
      </c>
      <c r="I140" s="8" t="n">
        <v>55000</v>
      </c>
      <c r="J140" s="9" t="n">
        <v>0.1</v>
      </c>
      <c r="K140" s="8" t="n">
        <v>49500</v>
      </c>
      <c r="L140" s="8" t="n">
        <v>4950</v>
      </c>
      <c r="M140" s="7" t="s">
        <v>68</v>
      </c>
    </row>
    <row r="141" customFormat="false" ht="15" hidden="false" customHeight="false" outlineLevel="0" collapsed="false">
      <c r="A141" s="0" t="s">
        <v>223</v>
      </c>
      <c r="B141" s="6" t="n">
        <v>46189</v>
      </c>
      <c r="C141" s="7" t="s">
        <v>76</v>
      </c>
      <c r="D141" s="7" t="s">
        <v>24</v>
      </c>
      <c r="E141" s="7" t="s">
        <v>25</v>
      </c>
      <c r="F141" s="7" t="s">
        <v>26</v>
      </c>
      <c r="G141" s="7" t="s">
        <v>27</v>
      </c>
      <c r="H141" s="8" t="n">
        <v>2</v>
      </c>
      <c r="I141" s="8" t="n">
        <v>25000</v>
      </c>
      <c r="J141" s="9" t="n">
        <v>0.05</v>
      </c>
      <c r="K141" s="8" t="n">
        <v>47500</v>
      </c>
      <c r="L141" s="8" t="n">
        <v>3800</v>
      </c>
      <c r="M141" s="7" t="s">
        <v>28</v>
      </c>
    </row>
    <row r="142" customFormat="false" ht="15" hidden="false" customHeight="false" outlineLevel="0" collapsed="false">
      <c r="A142" s="0" t="s">
        <v>224</v>
      </c>
      <c r="B142" s="6" t="n">
        <v>46190</v>
      </c>
      <c r="C142" s="7" t="s">
        <v>138</v>
      </c>
      <c r="D142" s="7" t="s">
        <v>118</v>
      </c>
      <c r="E142" s="7" t="s">
        <v>38</v>
      </c>
      <c r="F142" s="7" t="s">
        <v>82</v>
      </c>
      <c r="G142" s="7" t="s">
        <v>48</v>
      </c>
      <c r="H142" s="8" t="n">
        <v>4</v>
      </c>
      <c r="I142" s="8" t="n">
        <v>2200</v>
      </c>
      <c r="J142" s="9" t="n">
        <v>0.1</v>
      </c>
      <c r="K142" s="8" t="n">
        <v>7920</v>
      </c>
      <c r="L142" s="8" t="n">
        <v>1742.4</v>
      </c>
      <c r="M142" s="7" t="s">
        <v>34</v>
      </c>
    </row>
    <row r="143" customFormat="false" ht="15" hidden="false" customHeight="false" outlineLevel="0" collapsed="false">
      <c r="A143" s="0" t="s">
        <v>225</v>
      </c>
      <c r="B143" s="6" t="n">
        <v>46193</v>
      </c>
      <c r="C143" s="7" t="s">
        <v>89</v>
      </c>
      <c r="D143" s="7" t="s">
        <v>118</v>
      </c>
      <c r="E143" s="7" t="s">
        <v>38</v>
      </c>
      <c r="F143" s="7" t="s">
        <v>19</v>
      </c>
      <c r="G143" s="7" t="s">
        <v>20</v>
      </c>
      <c r="H143" s="8" t="n">
        <v>5</v>
      </c>
      <c r="I143" s="8" t="n">
        <v>250</v>
      </c>
      <c r="J143" s="9" t="n">
        <v>0.15</v>
      </c>
      <c r="K143" s="8" t="n">
        <v>1062.5</v>
      </c>
      <c r="L143" s="8" t="n">
        <v>318.75</v>
      </c>
      <c r="M143" s="7" t="s">
        <v>21</v>
      </c>
    </row>
    <row r="144" customFormat="false" ht="15" hidden="false" customHeight="false" outlineLevel="0" collapsed="false">
      <c r="A144" s="0" t="s">
        <v>226</v>
      </c>
      <c r="B144" s="6" t="n">
        <v>46194</v>
      </c>
      <c r="C144" s="7" t="s">
        <v>87</v>
      </c>
      <c r="D144" s="7" t="s">
        <v>61</v>
      </c>
      <c r="E144" s="7" t="s">
        <v>57</v>
      </c>
      <c r="F144" s="7" t="s">
        <v>32</v>
      </c>
      <c r="G144" s="7" t="s">
        <v>33</v>
      </c>
      <c r="H144" s="8" t="n">
        <v>5</v>
      </c>
      <c r="I144" s="8" t="n">
        <v>12000</v>
      </c>
      <c r="J144" s="9" t="n">
        <v>0.05</v>
      </c>
      <c r="K144" s="8" t="n">
        <v>57000</v>
      </c>
      <c r="L144" s="8" t="n">
        <v>6840</v>
      </c>
      <c r="M144" s="7" t="s">
        <v>28</v>
      </c>
    </row>
    <row r="145" customFormat="false" ht="15" hidden="false" customHeight="false" outlineLevel="0" collapsed="false">
      <c r="A145" s="0" t="s">
        <v>227</v>
      </c>
      <c r="B145" s="6" t="n">
        <v>46194</v>
      </c>
      <c r="C145" s="7" t="s">
        <v>23</v>
      </c>
      <c r="D145" s="7" t="s">
        <v>41</v>
      </c>
      <c r="E145" s="7" t="s">
        <v>42</v>
      </c>
      <c r="F145" s="7" t="s">
        <v>90</v>
      </c>
      <c r="G145" s="7" t="s">
        <v>27</v>
      </c>
      <c r="H145" s="8" t="n">
        <v>2</v>
      </c>
      <c r="I145" s="8" t="n">
        <v>12000</v>
      </c>
      <c r="J145" s="9" t="n">
        <v>0.15</v>
      </c>
      <c r="K145" s="8" t="n">
        <v>20400</v>
      </c>
      <c r="L145" s="8" t="n">
        <v>2040</v>
      </c>
      <c r="M145" s="7" t="s">
        <v>68</v>
      </c>
    </row>
    <row r="146" customFormat="false" ht="15" hidden="false" customHeight="false" outlineLevel="0" collapsed="false">
      <c r="A146" s="0" t="s">
        <v>228</v>
      </c>
      <c r="B146" s="6" t="n">
        <v>46194</v>
      </c>
      <c r="C146" s="7" t="s">
        <v>162</v>
      </c>
      <c r="D146" s="7" t="s">
        <v>30</v>
      </c>
      <c r="E146" s="7" t="s">
        <v>31</v>
      </c>
      <c r="F146" s="7" t="s">
        <v>47</v>
      </c>
      <c r="G146" s="7" t="s">
        <v>48</v>
      </c>
      <c r="H146" s="8" t="n">
        <v>2</v>
      </c>
      <c r="I146" s="8" t="n">
        <v>800</v>
      </c>
      <c r="J146" s="9" t="n">
        <v>0.15</v>
      </c>
      <c r="K146" s="8" t="n">
        <v>1360</v>
      </c>
      <c r="L146" s="8" t="n">
        <v>326.4</v>
      </c>
      <c r="M146" s="7" t="s">
        <v>68</v>
      </c>
    </row>
    <row r="147" customFormat="false" ht="15" hidden="false" customHeight="false" outlineLevel="0" collapsed="false">
      <c r="A147" s="0" t="s">
        <v>229</v>
      </c>
      <c r="B147" s="6" t="n">
        <v>46194</v>
      </c>
      <c r="C147" s="7" t="s">
        <v>70</v>
      </c>
      <c r="D147" s="7" t="s">
        <v>118</v>
      </c>
      <c r="E147" s="7" t="s">
        <v>38</v>
      </c>
      <c r="F147" s="7" t="s">
        <v>53</v>
      </c>
      <c r="G147" s="7" t="s">
        <v>27</v>
      </c>
      <c r="H147" s="8" t="n">
        <v>4</v>
      </c>
      <c r="I147" s="8" t="n">
        <v>1800</v>
      </c>
      <c r="J147" s="9" t="n">
        <v>0.1</v>
      </c>
      <c r="K147" s="8" t="n">
        <v>6480</v>
      </c>
      <c r="L147" s="8" t="n">
        <v>1166.4</v>
      </c>
      <c r="M147" s="7" t="s">
        <v>39</v>
      </c>
    </row>
    <row r="148" customFormat="false" ht="15" hidden="false" customHeight="false" outlineLevel="0" collapsed="false">
      <c r="A148" s="0" t="s">
        <v>230</v>
      </c>
      <c r="B148" s="6" t="n">
        <v>46194</v>
      </c>
      <c r="C148" s="7" t="s">
        <v>16</v>
      </c>
      <c r="D148" s="7" t="s">
        <v>30</v>
      </c>
      <c r="E148" s="7" t="s">
        <v>31</v>
      </c>
      <c r="F148" s="7" t="s">
        <v>58</v>
      </c>
      <c r="G148" s="7" t="s">
        <v>33</v>
      </c>
      <c r="H148" s="8" t="n">
        <v>3</v>
      </c>
      <c r="I148" s="8" t="n">
        <v>7000</v>
      </c>
      <c r="J148" s="9" t="n">
        <v>0</v>
      </c>
      <c r="K148" s="8" t="n">
        <v>21000</v>
      </c>
      <c r="L148" s="8" t="n">
        <v>3150</v>
      </c>
      <c r="M148" s="7" t="s">
        <v>34</v>
      </c>
    </row>
    <row r="149" customFormat="false" ht="15" hidden="false" customHeight="false" outlineLevel="0" collapsed="false">
      <c r="A149" s="0" t="s">
        <v>231</v>
      </c>
      <c r="B149" s="6" t="n">
        <v>46195</v>
      </c>
      <c r="C149" s="7" t="s">
        <v>138</v>
      </c>
      <c r="D149" s="7" t="s">
        <v>45</v>
      </c>
      <c r="E149" s="7" t="s">
        <v>46</v>
      </c>
      <c r="F149" s="7" t="s">
        <v>62</v>
      </c>
      <c r="G149" s="7" t="s">
        <v>27</v>
      </c>
      <c r="H149" s="8" t="n">
        <v>5</v>
      </c>
      <c r="I149" s="8" t="n">
        <v>55000</v>
      </c>
      <c r="J149" s="9" t="n">
        <v>0.1</v>
      </c>
      <c r="K149" s="8" t="n">
        <v>247500</v>
      </c>
      <c r="L149" s="8" t="n">
        <v>24750</v>
      </c>
      <c r="M149" s="7" t="s">
        <v>21</v>
      </c>
    </row>
    <row r="150" customFormat="false" ht="15" hidden="false" customHeight="false" outlineLevel="0" collapsed="false">
      <c r="A150" s="0" t="s">
        <v>232</v>
      </c>
      <c r="B150" s="6" t="n">
        <v>46195</v>
      </c>
      <c r="C150" s="7" t="s">
        <v>70</v>
      </c>
      <c r="D150" s="7" t="s">
        <v>98</v>
      </c>
      <c r="E150" s="7" t="s">
        <v>99</v>
      </c>
      <c r="F150" s="7" t="s">
        <v>82</v>
      </c>
      <c r="G150" s="7" t="s">
        <v>48</v>
      </c>
      <c r="H150" s="8" t="n">
        <v>1</v>
      </c>
      <c r="I150" s="8" t="n">
        <v>2200</v>
      </c>
      <c r="J150" s="9" t="n">
        <v>0.1</v>
      </c>
      <c r="K150" s="8" t="n">
        <v>1980</v>
      </c>
      <c r="L150" s="8" t="n">
        <v>435.6</v>
      </c>
      <c r="M150" s="7" t="s">
        <v>21</v>
      </c>
    </row>
    <row r="151" customFormat="false" ht="15" hidden="false" customHeight="false" outlineLevel="0" collapsed="false">
      <c r="A151" s="0" t="s">
        <v>233</v>
      </c>
      <c r="B151" s="6" t="n">
        <v>46197</v>
      </c>
      <c r="C151" s="7" t="s">
        <v>87</v>
      </c>
      <c r="D151" s="7" t="s">
        <v>123</v>
      </c>
      <c r="E151" s="7" t="s">
        <v>99</v>
      </c>
      <c r="F151" s="7" t="s">
        <v>19</v>
      </c>
      <c r="G151" s="7" t="s">
        <v>20</v>
      </c>
      <c r="H151" s="8" t="n">
        <v>3</v>
      </c>
      <c r="I151" s="8" t="n">
        <v>250</v>
      </c>
      <c r="J151" s="9" t="n">
        <v>0.1</v>
      </c>
      <c r="K151" s="8" t="n">
        <v>675</v>
      </c>
      <c r="L151" s="8" t="n">
        <v>202.5</v>
      </c>
      <c r="M151" s="7" t="s">
        <v>34</v>
      </c>
    </row>
    <row r="152" customFormat="false" ht="15" hidden="false" customHeight="false" outlineLevel="0" collapsed="false">
      <c r="A152" s="0" t="s">
        <v>234</v>
      </c>
      <c r="B152" s="6" t="n">
        <v>46198</v>
      </c>
      <c r="C152" s="7" t="s">
        <v>78</v>
      </c>
      <c r="D152" s="7" t="s">
        <v>30</v>
      </c>
      <c r="E152" s="7" t="s">
        <v>31</v>
      </c>
      <c r="F152" s="7" t="s">
        <v>90</v>
      </c>
      <c r="G152" s="7" t="s">
        <v>27</v>
      </c>
      <c r="H152" s="8" t="n">
        <v>4</v>
      </c>
      <c r="I152" s="8" t="n">
        <v>12000</v>
      </c>
      <c r="J152" s="9" t="n">
        <v>0.1</v>
      </c>
      <c r="K152" s="8" t="n">
        <v>43200</v>
      </c>
      <c r="L152" s="8" t="n">
        <v>4320</v>
      </c>
      <c r="M152" s="7" t="s">
        <v>34</v>
      </c>
    </row>
    <row r="153" customFormat="false" ht="15" hidden="false" customHeight="false" outlineLevel="0" collapsed="false">
      <c r="A153" s="0" t="s">
        <v>235</v>
      </c>
      <c r="B153" s="6" t="n">
        <v>46198</v>
      </c>
      <c r="C153" s="7" t="s">
        <v>78</v>
      </c>
      <c r="D153" s="7" t="s">
        <v>45</v>
      </c>
      <c r="E153" s="7" t="s">
        <v>46</v>
      </c>
      <c r="F153" s="7" t="s">
        <v>19</v>
      </c>
      <c r="G153" s="7" t="s">
        <v>20</v>
      </c>
      <c r="H153" s="8" t="n">
        <v>5</v>
      </c>
      <c r="I153" s="8" t="n">
        <v>250</v>
      </c>
      <c r="J153" s="9" t="n">
        <v>0.05</v>
      </c>
      <c r="K153" s="8" t="n">
        <v>1187.5</v>
      </c>
      <c r="L153" s="8" t="n">
        <v>356.25</v>
      </c>
      <c r="M153" s="7" t="s">
        <v>28</v>
      </c>
    </row>
    <row r="154" customFormat="false" ht="15" hidden="false" customHeight="false" outlineLevel="0" collapsed="false">
      <c r="A154" s="0" t="s">
        <v>236</v>
      </c>
      <c r="B154" s="6" t="n">
        <v>46199</v>
      </c>
      <c r="C154" s="7" t="s">
        <v>23</v>
      </c>
      <c r="D154" s="7" t="s">
        <v>17</v>
      </c>
      <c r="E154" s="7" t="s">
        <v>18</v>
      </c>
      <c r="F154" s="7" t="s">
        <v>58</v>
      </c>
      <c r="G154" s="7" t="s">
        <v>33</v>
      </c>
      <c r="H154" s="8" t="n">
        <v>4</v>
      </c>
      <c r="I154" s="8" t="n">
        <v>7000</v>
      </c>
      <c r="J154" s="9" t="n">
        <v>0.05</v>
      </c>
      <c r="K154" s="8" t="n">
        <v>26600</v>
      </c>
      <c r="L154" s="8" t="n">
        <v>3990</v>
      </c>
      <c r="M154" s="7" t="s">
        <v>39</v>
      </c>
    </row>
    <row r="155" customFormat="false" ht="15" hidden="false" customHeight="false" outlineLevel="0" collapsed="false">
      <c r="A155" s="0" t="s">
        <v>237</v>
      </c>
      <c r="B155" s="6" t="n">
        <v>46199</v>
      </c>
      <c r="C155" s="7" t="s">
        <v>117</v>
      </c>
      <c r="D155" s="7" t="s">
        <v>104</v>
      </c>
      <c r="E155" s="7" t="s">
        <v>18</v>
      </c>
      <c r="F155" s="7" t="s">
        <v>85</v>
      </c>
      <c r="G155" s="7" t="s">
        <v>20</v>
      </c>
      <c r="H155" s="8" t="n">
        <v>3</v>
      </c>
      <c r="I155" s="8" t="n">
        <v>180</v>
      </c>
      <c r="J155" s="9" t="n">
        <v>0.05</v>
      </c>
      <c r="K155" s="8" t="n">
        <v>513</v>
      </c>
      <c r="L155" s="8" t="n">
        <v>143.64</v>
      </c>
      <c r="M155" s="7" t="s">
        <v>28</v>
      </c>
    </row>
    <row r="156" customFormat="false" ht="15" hidden="false" customHeight="false" outlineLevel="0" collapsed="false">
      <c r="A156" s="0" t="s">
        <v>238</v>
      </c>
      <c r="B156" s="6" t="n">
        <v>46200</v>
      </c>
      <c r="C156" s="7" t="s">
        <v>23</v>
      </c>
      <c r="D156" s="7" t="s">
        <v>37</v>
      </c>
      <c r="E156" s="7" t="s">
        <v>38</v>
      </c>
      <c r="F156" s="7" t="s">
        <v>26</v>
      </c>
      <c r="G156" s="7" t="s">
        <v>27</v>
      </c>
      <c r="H156" s="8" t="n">
        <v>4</v>
      </c>
      <c r="I156" s="8" t="n">
        <v>25000</v>
      </c>
      <c r="J156" s="9" t="n">
        <v>0.15</v>
      </c>
      <c r="K156" s="8" t="n">
        <v>85000</v>
      </c>
      <c r="L156" s="8" t="n">
        <v>6800</v>
      </c>
      <c r="M156" s="7" t="s">
        <v>39</v>
      </c>
    </row>
    <row r="157" customFormat="false" ht="15" hidden="false" customHeight="false" outlineLevel="0" collapsed="false">
      <c r="A157" s="0" t="s">
        <v>239</v>
      </c>
      <c r="B157" s="6" t="n">
        <v>46201</v>
      </c>
      <c r="C157" s="7" t="s">
        <v>87</v>
      </c>
      <c r="D157" s="7" t="s">
        <v>61</v>
      </c>
      <c r="E157" s="7" t="s">
        <v>57</v>
      </c>
      <c r="F157" s="7" t="s">
        <v>96</v>
      </c>
      <c r="G157" s="7" t="s">
        <v>48</v>
      </c>
      <c r="H157" s="8" t="n">
        <v>4</v>
      </c>
      <c r="I157" s="8" t="n">
        <v>900</v>
      </c>
      <c r="J157" s="9" t="n">
        <v>0.05</v>
      </c>
      <c r="K157" s="8" t="n">
        <v>3420</v>
      </c>
      <c r="L157" s="8" t="n">
        <v>855</v>
      </c>
      <c r="M157" s="7" t="s">
        <v>68</v>
      </c>
    </row>
    <row r="158" customFormat="false" ht="15" hidden="false" customHeight="false" outlineLevel="0" collapsed="false">
      <c r="A158" s="0" t="s">
        <v>240</v>
      </c>
      <c r="B158" s="6" t="n">
        <v>46201</v>
      </c>
      <c r="C158" s="7" t="s">
        <v>16</v>
      </c>
      <c r="D158" s="7" t="s">
        <v>56</v>
      </c>
      <c r="E158" s="7" t="s">
        <v>57</v>
      </c>
      <c r="F158" s="7" t="s">
        <v>85</v>
      </c>
      <c r="G158" s="7" t="s">
        <v>20</v>
      </c>
      <c r="H158" s="8" t="n">
        <v>5</v>
      </c>
      <c r="I158" s="8" t="n">
        <v>180</v>
      </c>
      <c r="J158" s="9" t="n">
        <v>0</v>
      </c>
      <c r="K158" s="8" t="n">
        <v>900</v>
      </c>
      <c r="L158" s="8" t="n">
        <v>252</v>
      </c>
      <c r="M158" s="7" t="s">
        <v>21</v>
      </c>
    </row>
    <row r="159" customFormat="false" ht="15" hidden="false" customHeight="false" outlineLevel="0" collapsed="false">
      <c r="A159" s="0" t="s">
        <v>241</v>
      </c>
      <c r="B159" s="6" t="n">
        <v>46208</v>
      </c>
      <c r="C159" s="7" t="s">
        <v>113</v>
      </c>
      <c r="D159" s="7" t="s">
        <v>51</v>
      </c>
      <c r="E159" s="7" t="s">
        <v>52</v>
      </c>
      <c r="F159" s="7" t="s">
        <v>82</v>
      </c>
      <c r="G159" s="7" t="s">
        <v>48</v>
      </c>
      <c r="H159" s="8" t="n">
        <v>3</v>
      </c>
      <c r="I159" s="8" t="n">
        <v>2200</v>
      </c>
      <c r="J159" s="9" t="n">
        <v>0</v>
      </c>
      <c r="K159" s="8" t="n">
        <v>6600</v>
      </c>
      <c r="L159" s="8" t="n">
        <v>1452</v>
      </c>
      <c r="M159" s="7" t="s">
        <v>68</v>
      </c>
    </row>
    <row r="160" customFormat="false" ht="15" hidden="false" customHeight="false" outlineLevel="0" collapsed="false">
      <c r="A160" s="0" t="s">
        <v>242</v>
      </c>
      <c r="B160" s="6" t="n">
        <v>46209</v>
      </c>
      <c r="C160" s="7" t="s">
        <v>87</v>
      </c>
      <c r="D160" s="7" t="s">
        <v>41</v>
      </c>
      <c r="E160" s="7" t="s">
        <v>42</v>
      </c>
      <c r="F160" s="7" t="s">
        <v>26</v>
      </c>
      <c r="G160" s="7" t="s">
        <v>27</v>
      </c>
      <c r="H160" s="8" t="n">
        <v>4</v>
      </c>
      <c r="I160" s="8" t="n">
        <v>25000</v>
      </c>
      <c r="J160" s="9" t="n">
        <v>0</v>
      </c>
      <c r="K160" s="8" t="n">
        <v>100000</v>
      </c>
      <c r="L160" s="8" t="n">
        <v>8000</v>
      </c>
      <c r="M160" s="7" t="s">
        <v>21</v>
      </c>
    </row>
    <row r="161" customFormat="false" ht="15" hidden="false" customHeight="false" outlineLevel="0" collapsed="false">
      <c r="A161" s="0" t="s">
        <v>243</v>
      </c>
      <c r="B161" s="6" t="n">
        <v>46210</v>
      </c>
      <c r="C161" s="7" t="s">
        <v>78</v>
      </c>
      <c r="D161" s="7" t="s">
        <v>24</v>
      </c>
      <c r="E161" s="7" t="s">
        <v>25</v>
      </c>
      <c r="F161" s="7" t="s">
        <v>82</v>
      </c>
      <c r="G161" s="7" t="s">
        <v>48</v>
      </c>
      <c r="H161" s="8" t="n">
        <v>5</v>
      </c>
      <c r="I161" s="8" t="n">
        <v>2200</v>
      </c>
      <c r="J161" s="9" t="n">
        <v>0.15</v>
      </c>
      <c r="K161" s="8" t="n">
        <v>9350</v>
      </c>
      <c r="L161" s="8" t="n">
        <v>2057</v>
      </c>
      <c r="M161" s="7" t="s">
        <v>28</v>
      </c>
    </row>
    <row r="162" customFormat="false" ht="15" hidden="false" customHeight="false" outlineLevel="0" collapsed="false">
      <c r="A162" s="0" t="s">
        <v>244</v>
      </c>
      <c r="B162" s="6" t="n">
        <v>46211</v>
      </c>
      <c r="C162" s="7" t="s">
        <v>101</v>
      </c>
      <c r="D162" s="7" t="s">
        <v>17</v>
      </c>
      <c r="E162" s="7" t="s">
        <v>18</v>
      </c>
      <c r="F162" s="7" t="s">
        <v>65</v>
      </c>
      <c r="G162" s="7" t="s">
        <v>27</v>
      </c>
      <c r="H162" s="8" t="n">
        <v>1</v>
      </c>
      <c r="I162" s="8" t="n">
        <v>14000</v>
      </c>
      <c r="J162" s="9" t="n">
        <v>0</v>
      </c>
      <c r="K162" s="8" t="n">
        <v>14000</v>
      </c>
      <c r="L162" s="8" t="n">
        <v>1680</v>
      </c>
      <c r="M162" s="7" t="s">
        <v>68</v>
      </c>
    </row>
    <row r="163" customFormat="false" ht="15" hidden="false" customHeight="false" outlineLevel="0" collapsed="false">
      <c r="A163" s="0" t="s">
        <v>245</v>
      </c>
      <c r="B163" s="6" t="n">
        <v>46213</v>
      </c>
      <c r="C163" s="7" t="s">
        <v>55</v>
      </c>
      <c r="D163" s="7" t="s">
        <v>24</v>
      </c>
      <c r="E163" s="7" t="s">
        <v>25</v>
      </c>
      <c r="F163" s="7" t="s">
        <v>53</v>
      </c>
      <c r="G163" s="7" t="s">
        <v>27</v>
      </c>
      <c r="H163" s="8" t="n">
        <v>2</v>
      </c>
      <c r="I163" s="8" t="n">
        <v>1800</v>
      </c>
      <c r="J163" s="9" t="n">
        <v>0.15</v>
      </c>
      <c r="K163" s="8" t="n">
        <v>3060</v>
      </c>
      <c r="L163" s="8" t="n">
        <v>550.8</v>
      </c>
      <c r="M163" s="7" t="s">
        <v>39</v>
      </c>
    </row>
    <row r="164" customFormat="false" ht="15" hidden="false" customHeight="false" outlineLevel="0" collapsed="false">
      <c r="A164" s="0" t="s">
        <v>246</v>
      </c>
      <c r="B164" s="6" t="n">
        <v>46213</v>
      </c>
      <c r="C164" s="7" t="s">
        <v>36</v>
      </c>
      <c r="D164" s="7" t="s">
        <v>24</v>
      </c>
      <c r="E164" s="7" t="s">
        <v>25</v>
      </c>
      <c r="F164" s="7" t="s">
        <v>79</v>
      </c>
      <c r="G164" s="7" t="s">
        <v>33</v>
      </c>
      <c r="H164" s="8" t="n">
        <v>4</v>
      </c>
      <c r="I164" s="8" t="n">
        <v>8500</v>
      </c>
      <c r="J164" s="9" t="n">
        <v>0.1</v>
      </c>
      <c r="K164" s="8" t="n">
        <v>30600</v>
      </c>
      <c r="L164" s="8" t="n">
        <v>4284</v>
      </c>
      <c r="M164" s="7" t="s">
        <v>39</v>
      </c>
    </row>
    <row r="165" customFormat="false" ht="15" hidden="false" customHeight="false" outlineLevel="0" collapsed="false">
      <c r="A165" s="0" t="s">
        <v>247</v>
      </c>
      <c r="B165" s="6" t="n">
        <v>46213</v>
      </c>
      <c r="C165" s="7" t="s">
        <v>138</v>
      </c>
      <c r="D165" s="7" t="s">
        <v>98</v>
      </c>
      <c r="E165" s="7" t="s">
        <v>99</v>
      </c>
      <c r="F165" s="7" t="s">
        <v>58</v>
      </c>
      <c r="G165" s="7" t="s">
        <v>33</v>
      </c>
      <c r="H165" s="8" t="n">
        <v>3</v>
      </c>
      <c r="I165" s="8" t="n">
        <v>7000</v>
      </c>
      <c r="J165" s="9" t="n">
        <v>0.05</v>
      </c>
      <c r="K165" s="8" t="n">
        <v>19950</v>
      </c>
      <c r="L165" s="8" t="n">
        <v>2992.5</v>
      </c>
      <c r="M165" s="7" t="s">
        <v>39</v>
      </c>
    </row>
    <row r="166" customFormat="false" ht="15" hidden="false" customHeight="false" outlineLevel="0" collapsed="false">
      <c r="A166" s="0" t="s">
        <v>248</v>
      </c>
      <c r="B166" s="6" t="n">
        <v>46214</v>
      </c>
      <c r="C166" s="7" t="s">
        <v>87</v>
      </c>
      <c r="D166" s="7" t="s">
        <v>61</v>
      </c>
      <c r="E166" s="7" t="s">
        <v>57</v>
      </c>
      <c r="F166" s="7" t="s">
        <v>19</v>
      </c>
      <c r="G166" s="7" t="s">
        <v>20</v>
      </c>
      <c r="H166" s="8" t="n">
        <v>5</v>
      </c>
      <c r="I166" s="8" t="n">
        <v>250</v>
      </c>
      <c r="J166" s="9" t="n">
        <v>0.05</v>
      </c>
      <c r="K166" s="8" t="n">
        <v>1187.5</v>
      </c>
      <c r="L166" s="8" t="n">
        <v>356.25</v>
      </c>
      <c r="M166" s="7" t="s">
        <v>28</v>
      </c>
    </row>
    <row r="167" customFormat="false" ht="15" hidden="false" customHeight="false" outlineLevel="0" collapsed="false">
      <c r="A167" s="0" t="s">
        <v>249</v>
      </c>
      <c r="B167" s="6" t="n">
        <v>46214</v>
      </c>
      <c r="C167" s="7" t="s">
        <v>67</v>
      </c>
      <c r="D167" s="7" t="s">
        <v>37</v>
      </c>
      <c r="E167" s="7" t="s">
        <v>38</v>
      </c>
      <c r="F167" s="7" t="s">
        <v>85</v>
      </c>
      <c r="G167" s="7" t="s">
        <v>20</v>
      </c>
      <c r="H167" s="8" t="n">
        <v>2</v>
      </c>
      <c r="I167" s="8" t="n">
        <v>180</v>
      </c>
      <c r="J167" s="9" t="n">
        <v>0.05</v>
      </c>
      <c r="K167" s="8" t="n">
        <v>342</v>
      </c>
      <c r="L167" s="8" t="n">
        <v>95.76</v>
      </c>
      <c r="M167" s="7" t="s">
        <v>28</v>
      </c>
    </row>
    <row r="168" customFormat="false" ht="15" hidden="false" customHeight="false" outlineLevel="0" collapsed="false">
      <c r="A168" s="0" t="s">
        <v>250</v>
      </c>
      <c r="B168" s="6" t="n">
        <v>46217</v>
      </c>
      <c r="C168" s="7" t="s">
        <v>111</v>
      </c>
      <c r="D168" s="7" t="s">
        <v>24</v>
      </c>
      <c r="E168" s="7" t="s">
        <v>25</v>
      </c>
      <c r="F168" s="7" t="s">
        <v>43</v>
      </c>
      <c r="G168" s="7" t="s">
        <v>27</v>
      </c>
      <c r="H168" s="8" t="n">
        <v>4</v>
      </c>
      <c r="I168" s="8" t="n">
        <v>2500</v>
      </c>
      <c r="J168" s="9" t="n">
        <v>0.05</v>
      </c>
      <c r="K168" s="8" t="n">
        <v>9500</v>
      </c>
      <c r="L168" s="8" t="n">
        <v>1900</v>
      </c>
      <c r="M168" s="7" t="s">
        <v>39</v>
      </c>
    </row>
    <row r="169" customFormat="false" ht="15" hidden="false" customHeight="false" outlineLevel="0" collapsed="false">
      <c r="A169" s="0" t="s">
        <v>251</v>
      </c>
      <c r="B169" s="6" t="n">
        <v>46217</v>
      </c>
      <c r="C169" s="7" t="s">
        <v>162</v>
      </c>
      <c r="D169" s="7" t="s">
        <v>123</v>
      </c>
      <c r="E169" s="7" t="s">
        <v>99</v>
      </c>
      <c r="F169" s="7" t="s">
        <v>65</v>
      </c>
      <c r="G169" s="7" t="s">
        <v>27</v>
      </c>
      <c r="H169" s="8" t="n">
        <v>4</v>
      </c>
      <c r="I169" s="8" t="n">
        <v>14000</v>
      </c>
      <c r="J169" s="9" t="n">
        <v>0.1</v>
      </c>
      <c r="K169" s="8" t="n">
        <v>50400</v>
      </c>
      <c r="L169" s="8" t="n">
        <v>6048</v>
      </c>
      <c r="M169" s="7" t="s">
        <v>34</v>
      </c>
    </row>
    <row r="170" customFormat="false" ht="15" hidden="false" customHeight="false" outlineLevel="0" collapsed="false">
      <c r="A170" s="0" t="s">
        <v>252</v>
      </c>
      <c r="B170" s="6" t="n">
        <v>46218</v>
      </c>
      <c r="C170" s="7" t="s">
        <v>113</v>
      </c>
      <c r="D170" s="7" t="s">
        <v>37</v>
      </c>
      <c r="E170" s="7" t="s">
        <v>38</v>
      </c>
      <c r="F170" s="7" t="s">
        <v>92</v>
      </c>
      <c r="G170" s="7" t="s">
        <v>93</v>
      </c>
      <c r="H170" s="8" t="n">
        <v>1</v>
      </c>
      <c r="I170" s="8" t="n">
        <v>1600</v>
      </c>
      <c r="J170" s="9" t="n">
        <v>0.1</v>
      </c>
      <c r="K170" s="8" t="n">
        <v>1440</v>
      </c>
      <c r="L170" s="8" t="n">
        <v>288</v>
      </c>
      <c r="M170" s="7" t="s">
        <v>21</v>
      </c>
    </row>
    <row r="171" customFormat="false" ht="15" hidden="false" customHeight="false" outlineLevel="0" collapsed="false">
      <c r="A171" s="0" t="s">
        <v>253</v>
      </c>
      <c r="B171" s="6" t="n">
        <v>46219</v>
      </c>
      <c r="C171" s="7" t="s">
        <v>113</v>
      </c>
      <c r="D171" s="7" t="s">
        <v>56</v>
      </c>
      <c r="E171" s="7" t="s">
        <v>57</v>
      </c>
      <c r="F171" s="7" t="s">
        <v>58</v>
      </c>
      <c r="G171" s="7" t="s">
        <v>33</v>
      </c>
      <c r="H171" s="8" t="n">
        <v>2</v>
      </c>
      <c r="I171" s="8" t="n">
        <v>7000</v>
      </c>
      <c r="J171" s="9" t="n">
        <v>0.1</v>
      </c>
      <c r="K171" s="8" t="n">
        <v>12600</v>
      </c>
      <c r="L171" s="8" t="n">
        <v>1890</v>
      </c>
      <c r="M171" s="7" t="s">
        <v>28</v>
      </c>
    </row>
    <row r="172" customFormat="false" ht="15" hidden="false" customHeight="false" outlineLevel="0" collapsed="false">
      <c r="A172" s="0" t="s">
        <v>254</v>
      </c>
      <c r="B172" s="6" t="n">
        <v>46220</v>
      </c>
      <c r="C172" s="7" t="s">
        <v>60</v>
      </c>
      <c r="D172" s="7" t="s">
        <v>56</v>
      </c>
      <c r="E172" s="7" t="s">
        <v>57</v>
      </c>
      <c r="F172" s="7" t="s">
        <v>79</v>
      </c>
      <c r="G172" s="7" t="s">
        <v>33</v>
      </c>
      <c r="H172" s="8" t="n">
        <v>5</v>
      </c>
      <c r="I172" s="8" t="n">
        <v>8500</v>
      </c>
      <c r="J172" s="9" t="n">
        <v>0.1</v>
      </c>
      <c r="K172" s="8" t="n">
        <v>38250</v>
      </c>
      <c r="L172" s="8" t="n">
        <v>5355</v>
      </c>
      <c r="M172" s="7" t="s">
        <v>34</v>
      </c>
    </row>
    <row r="173" customFormat="false" ht="15" hidden="false" customHeight="false" outlineLevel="0" collapsed="false">
      <c r="A173" s="0" t="s">
        <v>255</v>
      </c>
      <c r="B173" s="6" t="n">
        <v>46220</v>
      </c>
      <c r="C173" s="7" t="s">
        <v>89</v>
      </c>
      <c r="D173" s="7" t="s">
        <v>104</v>
      </c>
      <c r="E173" s="7" t="s">
        <v>18</v>
      </c>
      <c r="F173" s="7" t="s">
        <v>96</v>
      </c>
      <c r="G173" s="7" t="s">
        <v>48</v>
      </c>
      <c r="H173" s="8" t="n">
        <v>5</v>
      </c>
      <c r="I173" s="8" t="n">
        <v>900</v>
      </c>
      <c r="J173" s="9" t="n">
        <v>0.15</v>
      </c>
      <c r="K173" s="8" t="n">
        <v>3825</v>
      </c>
      <c r="L173" s="8" t="n">
        <v>956.25</v>
      </c>
      <c r="M173" s="7" t="s">
        <v>21</v>
      </c>
    </row>
    <row r="174" customFormat="false" ht="15" hidden="false" customHeight="false" outlineLevel="0" collapsed="false">
      <c r="A174" s="0" t="s">
        <v>256</v>
      </c>
      <c r="B174" s="6" t="n">
        <v>46221</v>
      </c>
      <c r="C174" s="7" t="s">
        <v>67</v>
      </c>
      <c r="D174" s="7" t="s">
        <v>56</v>
      </c>
      <c r="E174" s="7" t="s">
        <v>57</v>
      </c>
      <c r="F174" s="7" t="s">
        <v>82</v>
      </c>
      <c r="G174" s="7" t="s">
        <v>48</v>
      </c>
      <c r="H174" s="8" t="n">
        <v>3</v>
      </c>
      <c r="I174" s="8" t="n">
        <v>2200</v>
      </c>
      <c r="J174" s="9" t="n">
        <v>0.05</v>
      </c>
      <c r="K174" s="8" t="n">
        <v>6270</v>
      </c>
      <c r="L174" s="8" t="n">
        <v>1379.4</v>
      </c>
      <c r="M174" s="7" t="s">
        <v>68</v>
      </c>
    </row>
    <row r="175" customFormat="false" ht="15" hidden="false" customHeight="false" outlineLevel="0" collapsed="false">
      <c r="A175" s="0" t="s">
        <v>257</v>
      </c>
      <c r="B175" s="6" t="n">
        <v>46222</v>
      </c>
      <c r="C175" s="7" t="s">
        <v>64</v>
      </c>
      <c r="D175" s="7" t="s">
        <v>30</v>
      </c>
      <c r="E175" s="7" t="s">
        <v>31</v>
      </c>
      <c r="F175" s="7" t="s">
        <v>19</v>
      </c>
      <c r="G175" s="7" t="s">
        <v>20</v>
      </c>
      <c r="H175" s="8" t="n">
        <v>1</v>
      </c>
      <c r="I175" s="8" t="n">
        <v>250</v>
      </c>
      <c r="J175" s="9" t="n">
        <v>0.05</v>
      </c>
      <c r="K175" s="8" t="n">
        <v>237.5</v>
      </c>
      <c r="L175" s="8" t="n">
        <v>71.25</v>
      </c>
      <c r="M175" s="7" t="s">
        <v>68</v>
      </c>
    </row>
    <row r="176" customFormat="false" ht="15" hidden="false" customHeight="false" outlineLevel="0" collapsed="false">
      <c r="A176" s="0" t="s">
        <v>258</v>
      </c>
      <c r="B176" s="6" t="n">
        <v>46223</v>
      </c>
      <c r="C176" s="7" t="s">
        <v>60</v>
      </c>
      <c r="D176" s="7" t="s">
        <v>41</v>
      </c>
      <c r="E176" s="7" t="s">
        <v>42</v>
      </c>
      <c r="F176" s="7" t="s">
        <v>53</v>
      </c>
      <c r="G176" s="7" t="s">
        <v>27</v>
      </c>
      <c r="H176" s="8" t="n">
        <v>1</v>
      </c>
      <c r="I176" s="8" t="n">
        <v>1800</v>
      </c>
      <c r="J176" s="9" t="n">
        <v>0</v>
      </c>
      <c r="K176" s="8" t="n">
        <v>1800</v>
      </c>
      <c r="L176" s="8" t="n">
        <v>324</v>
      </c>
      <c r="M176" s="7" t="s">
        <v>28</v>
      </c>
    </row>
    <row r="177" customFormat="false" ht="15" hidden="false" customHeight="false" outlineLevel="0" collapsed="false">
      <c r="A177" s="0" t="s">
        <v>259</v>
      </c>
      <c r="B177" s="6" t="n">
        <v>46223</v>
      </c>
      <c r="C177" s="7" t="s">
        <v>89</v>
      </c>
      <c r="D177" s="7" t="s">
        <v>71</v>
      </c>
      <c r="E177" s="7" t="s">
        <v>71</v>
      </c>
      <c r="F177" s="7" t="s">
        <v>90</v>
      </c>
      <c r="G177" s="7" t="s">
        <v>27</v>
      </c>
      <c r="H177" s="8" t="n">
        <v>4</v>
      </c>
      <c r="I177" s="8" t="n">
        <v>12000</v>
      </c>
      <c r="J177" s="9" t="n">
        <v>0.1</v>
      </c>
      <c r="K177" s="8" t="n">
        <v>43200</v>
      </c>
      <c r="L177" s="8" t="n">
        <v>4320</v>
      </c>
      <c r="M177" s="7" t="s">
        <v>34</v>
      </c>
    </row>
    <row r="178" customFormat="false" ht="15" hidden="false" customHeight="false" outlineLevel="0" collapsed="false">
      <c r="A178" s="0" t="s">
        <v>260</v>
      </c>
      <c r="B178" s="6" t="n">
        <v>46224</v>
      </c>
      <c r="C178" s="7" t="s">
        <v>64</v>
      </c>
      <c r="D178" s="7" t="s">
        <v>41</v>
      </c>
      <c r="E178" s="7" t="s">
        <v>42</v>
      </c>
      <c r="F178" s="7" t="s">
        <v>82</v>
      </c>
      <c r="G178" s="7" t="s">
        <v>48</v>
      </c>
      <c r="H178" s="8" t="n">
        <v>3</v>
      </c>
      <c r="I178" s="8" t="n">
        <v>2200</v>
      </c>
      <c r="J178" s="9" t="n">
        <v>0.05</v>
      </c>
      <c r="K178" s="8" t="n">
        <v>6270</v>
      </c>
      <c r="L178" s="8" t="n">
        <v>1379.4</v>
      </c>
      <c r="M178" s="7" t="s">
        <v>34</v>
      </c>
    </row>
    <row r="179" customFormat="false" ht="15" hidden="false" customHeight="false" outlineLevel="0" collapsed="false">
      <c r="A179" s="0" t="s">
        <v>261</v>
      </c>
      <c r="B179" s="6" t="n">
        <v>46225</v>
      </c>
      <c r="C179" s="7" t="s">
        <v>50</v>
      </c>
      <c r="D179" s="7" t="s">
        <v>71</v>
      </c>
      <c r="E179" s="7" t="s">
        <v>71</v>
      </c>
      <c r="F179" s="7" t="s">
        <v>65</v>
      </c>
      <c r="G179" s="7" t="s">
        <v>27</v>
      </c>
      <c r="H179" s="8" t="n">
        <v>2</v>
      </c>
      <c r="I179" s="8" t="n">
        <v>14000</v>
      </c>
      <c r="J179" s="9" t="n">
        <v>0.15</v>
      </c>
      <c r="K179" s="8" t="n">
        <v>23800</v>
      </c>
      <c r="L179" s="8" t="n">
        <v>2856</v>
      </c>
      <c r="M179" s="7" t="s">
        <v>68</v>
      </c>
    </row>
    <row r="180" customFormat="false" ht="15" hidden="false" customHeight="false" outlineLevel="0" collapsed="false">
      <c r="A180" s="0" t="s">
        <v>262</v>
      </c>
      <c r="B180" s="6" t="n">
        <v>46227</v>
      </c>
      <c r="C180" s="7" t="s">
        <v>36</v>
      </c>
      <c r="D180" s="7" t="s">
        <v>104</v>
      </c>
      <c r="E180" s="7" t="s">
        <v>18</v>
      </c>
      <c r="F180" s="7" t="s">
        <v>65</v>
      </c>
      <c r="G180" s="7" t="s">
        <v>27</v>
      </c>
      <c r="H180" s="8" t="n">
        <v>5</v>
      </c>
      <c r="I180" s="8" t="n">
        <v>14000</v>
      </c>
      <c r="J180" s="9" t="n">
        <v>0.1</v>
      </c>
      <c r="K180" s="8" t="n">
        <v>63000</v>
      </c>
      <c r="L180" s="8" t="n">
        <v>7560</v>
      </c>
      <c r="M180" s="7" t="s">
        <v>21</v>
      </c>
    </row>
    <row r="181" customFormat="false" ht="15" hidden="false" customHeight="false" outlineLevel="0" collapsed="false">
      <c r="A181" s="0" t="s">
        <v>263</v>
      </c>
      <c r="B181" s="6" t="n">
        <v>46229</v>
      </c>
      <c r="C181" s="7" t="s">
        <v>113</v>
      </c>
      <c r="D181" s="7" t="s">
        <v>30</v>
      </c>
      <c r="E181" s="7" t="s">
        <v>31</v>
      </c>
      <c r="F181" s="7" t="s">
        <v>62</v>
      </c>
      <c r="G181" s="7" t="s">
        <v>27</v>
      </c>
      <c r="H181" s="8" t="n">
        <v>5</v>
      </c>
      <c r="I181" s="8" t="n">
        <v>55000</v>
      </c>
      <c r="J181" s="9" t="n">
        <v>0.1</v>
      </c>
      <c r="K181" s="8" t="n">
        <v>247500</v>
      </c>
      <c r="L181" s="8" t="n">
        <v>24750</v>
      </c>
      <c r="M181" s="7" t="s">
        <v>34</v>
      </c>
    </row>
    <row r="182" customFormat="false" ht="15" hidden="false" customHeight="false" outlineLevel="0" collapsed="false">
      <c r="A182" s="0" t="s">
        <v>264</v>
      </c>
      <c r="B182" s="6" t="n">
        <v>46233</v>
      </c>
      <c r="C182" s="7" t="s">
        <v>36</v>
      </c>
      <c r="D182" s="7" t="s">
        <v>71</v>
      </c>
      <c r="E182" s="7" t="s">
        <v>71</v>
      </c>
      <c r="F182" s="7" t="s">
        <v>32</v>
      </c>
      <c r="G182" s="7" t="s">
        <v>33</v>
      </c>
      <c r="H182" s="8" t="n">
        <v>3</v>
      </c>
      <c r="I182" s="8" t="n">
        <v>12000</v>
      </c>
      <c r="J182" s="9" t="n">
        <v>0</v>
      </c>
      <c r="K182" s="8" t="n">
        <v>36000</v>
      </c>
      <c r="L182" s="8" t="n">
        <v>4320</v>
      </c>
      <c r="M182" s="7" t="s">
        <v>68</v>
      </c>
    </row>
    <row r="183" customFormat="false" ht="15" hidden="false" customHeight="false" outlineLevel="0" collapsed="false">
      <c r="A183" s="0" t="s">
        <v>265</v>
      </c>
      <c r="B183" s="6" t="n">
        <v>46234</v>
      </c>
      <c r="C183" s="7" t="s">
        <v>87</v>
      </c>
      <c r="D183" s="7" t="s">
        <v>71</v>
      </c>
      <c r="E183" s="7" t="s">
        <v>71</v>
      </c>
      <c r="F183" s="7" t="s">
        <v>58</v>
      </c>
      <c r="G183" s="7" t="s">
        <v>33</v>
      </c>
      <c r="H183" s="8" t="n">
        <v>4</v>
      </c>
      <c r="I183" s="8" t="n">
        <v>7000</v>
      </c>
      <c r="J183" s="9" t="n">
        <v>0</v>
      </c>
      <c r="K183" s="8" t="n">
        <v>28000</v>
      </c>
      <c r="L183" s="8" t="n">
        <v>4200</v>
      </c>
      <c r="M183" s="7" t="s">
        <v>68</v>
      </c>
    </row>
    <row r="184" customFormat="false" ht="15" hidden="false" customHeight="false" outlineLevel="0" collapsed="false">
      <c r="A184" s="0" t="s">
        <v>266</v>
      </c>
      <c r="B184" s="6" t="n">
        <v>46236</v>
      </c>
      <c r="C184" s="7" t="s">
        <v>138</v>
      </c>
      <c r="D184" s="7" t="s">
        <v>41</v>
      </c>
      <c r="E184" s="7" t="s">
        <v>42</v>
      </c>
      <c r="F184" s="7" t="s">
        <v>53</v>
      </c>
      <c r="G184" s="7" t="s">
        <v>27</v>
      </c>
      <c r="H184" s="8" t="n">
        <v>4</v>
      </c>
      <c r="I184" s="8" t="n">
        <v>1800</v>
      </c>
      <c r="J184" s="9" t="n">
        <v>0.05</v>
      </c>
      <c r="K184" s="8" t="n">
        <v>6840</v>
      </c>
      <c r="L184" s="8" t="n">
        <v>1231.2</v>
      </c>
      <c r="M184" s="7" t="s">
        <v>28</v>
      </c>
    </row>
    <row r="185" customFormat="false" ht="15" hidden="false" customHeight="false" outlineLevel="0" collapsed="false">
      <c r="A185" s="0" t="s">
        <v>267</v>
      </c>
      <c r="B185" s="6" t="n">
        <v>46237</v>
      </c>
      <c r="C185" s="7" t="s">
        <v>101</v>
      </c>
      <c r="D185" s="7" t="s">
        <v>71</v>
      </c>
      <c r="E185" s="7" t="s">
        <v>71</v>
      </c>
      <c r="F185" s="7" t="s">
        <v>43</v>
      </c>
      <c r="G185" s="7" t="s">
        <v>27</v>
      </c>
      <c r="H185" s="8" t="n">
        <v>2</v>
      </c>
      <c r="I185" s="8" t="n">
        <v>2500</v>
      </c>
      <c r="J185" s="9" t="n">
        <v>0.05</v>
      </c>
      <c r="K185" s="8" t="n">
        <v>4750</v>
      </c>
      <c r="L185" s="8" t="n">
        <v>950</v>
      </c>
      <c r="M185" s="7" t="s">
        <v>28</v>
      </c>
    </row>
    <row r="186" customFormat="false" ht="15" hidden="false" customHeight="false" outlineLevel="0" collapsed="false">
      <c r="A186" s="0" t="s">
        <v>268</v>
      </c>
      <c r="B186" s="6" t="n">
        <v>46241</v>
      </c>
      <c r="C186" s="7" t="s">
        <v>109</v>
      </c>
      <c r="D186" s="7" t="s">
        <v>41</v>
      </c>
      <c r="E186" s="7" t="s">
        <v>42</v>
      </c>
      <c r="F186" s="7" t="s">
        <v>53</v>
      </c>
      <c r="G186" s="7" t="s">
        <v>27</v>
      </c>
      <c r="H186" s="8" t="n">
        <v>4</v>
      </c>
      <c r="I186" s="8" t="n">
        <v>1800</v>
      </c>
      <c r="J186" s="9" t="n">
        <v>0.1</v>
      </c>
      <c r="K186" s="8" t="n">
        <v>6480</v>
      </c>
      <c r="L186" s="8" t="n">
        <v>1166.4</v>
      </c>
      <c r="M186" s="7" t="s">
        <v>21</v>
      </c>
    </row>
    <row r="187" customFormat="false" ht="15" hidden="false" customHeight="false" outlineLevel="0" collapsed="false">
      <c r="A187" s="0" t="s">
        <v>269</v>
      </c>
      <c r="B187" s="6" t="n">
        <v>46241</v>
      </c>
      <c r="C187" s="7" t="s">
        <v>87</v>
      </c>
      <c r="D187" s="7" t="s">
        <v>17</v>
      </c>
      <c r="E187" s="7" t="s">
        <v>18</v>
      </c>
      <c r="F187" s="7" t="s">
        <v>32</v>
      </c>
      <c r="G187" s="7" t="s">
        <v>33</v>
      </c>
      <c r="H187" s="8" t="n">
        <v>3</v>
      </c>
      <c r="I187" s="8" t="n">
        <v>12000</v>
      </c>
      <c r="J187" s="9" t="n">
        <v>0.15</v>
      </c>
      <c r="K187" s="8" t="n">
        <v>30600</v>
      </c>
      <c r="L187" s="8" t="n">
        <v>3672</v>
      </c>
      <c r="M187" s="7" t="s">
        <v>21</v>
      </c>
    </row>
    <row r="188" customFormat="false" ht="15" hidden="false" customHeight="false" outlineLevel="0" collapsed="false">
      <c r="A188" s="0" t="s">
        <v>270</v>
      </c>
      <c r="B188" s="6" t="n">
        <v>46242</v>
      </c>
      <c r="C188" s="7" t="s">
        <v>60</v>
      </c>
      <c r="D188" s="7" t="s">
        <v>56</v>
      </c>
      <c r="E188" s="7" t="s">
        <v>57</v>
      </c>
      <c r="F188" s="7" t="s">
        <v>62</v>
      </c>
      <c r="G188" s="7" t="s">
        <v>27</v>
      </c>
      <c r="H188" s="8" t="n">
        <v>3</v>
      </c>
      <c r="I188" s="8" t="n">
        <v>55000</v>
      </c>
      <c r="J188" s="9" t="n">
        <v>0.15</v>
      </c>
      <c r="K188" s="8" t="n">
        <v>140250</v>
      </c>
      <c r="L188" s="8" t="n">
        <v>14025</v>
      </c>
      <c r="M188" s="7" t="s">
        <v>28</v>
      </c>
    </row>
    <row r="189" customFormat="false" ht="15" hidden="false" customHeight="false" outlineLevel="0" collapsed="false">
      <c r="A189" s="0" t="s">
        <v>271</v>
      </c>
      <c r="B189" s="6" t="n">
        <v>46244</v>
      </c>
      <c r="C189" s="7" t="s">
        <v>162</v>
      </c>
      <c r="D189" s="7" t="s">
        <v>118</v>
      </c>
      <c r="E189" s="7" t="s">
        <v>38</v>
      </c>
      <c r="F189" s="7" t="s">
        <v>65</v>
      </c>
      <c r="G189" s="7" t="s">
        <v>27</v>
      </c>
      <c r="H189" s="8" t="n">
        <v>4</v>
      </c>
      <c r="I189" s="8" t="n">
        <v>14000</v>
      </c>
      <c r="J189" s="9" t="n">
        <v>0.1</v>
      </c>
      <c r="K189" s="8" t="n">
        <v>50400</v>
      </c>
      <c r="L189" s="8" t="n">
        <v>6048</v>
      </c>
      <c r="M189" s="7" t="s">
        <v>68</v>
      </c>
    </row>
    <row r="190" customFormat="false" ht="15" hidden="false" customHeight="false" outlineLevel="0" collapsed="false">
      <c r="A190" s="0" t="s">
        <v>272</v>
      </c>
      <c r="B190" s="6" t="n">
        <v>46251</v>
      </c>
      <c r="C190" s="7" t="s">
        <v>50</v>
      </c>
      <c r="D190" s="7" t="s">
        <v>24</v>
      </c>
      <c r="E190" s="7" t="s">
        <v>25</v>
      </c>
      <c r="F190" s="7" t="s">
        <v>43</v>
      </c>
      <c r="G190" s="7" t="s">
        <v>27</v>
      </c>
      <c r="H190" s="8" t="n">
        <v>2</v>
      </c>
      <c r="I190" s="8" t="n">
        <v>2500</v>
      </c>
      <c r="J190" s="9" t="n">
        <v>0.05</v>
      </c>
      <c r="K190" s="8" t="n">
        <v>4750</v>
      </c>
      <c r="L190" s="8" t="n">
        <v>950</v>
      </c>
      <c r="M190" s="7" t="s">
        <v>28</v>
      </c>
    </row>
    <row r="191" customFormat="false" ht="15" hidden="false" customHeight="false" outlineLevel="0" collapsed="false">
      <c r="A191" s="0" t="s">
        <v>273</v>
      </c>
      <c r="B191" s="6" t="n">
        <v>46253</v>
      </c>
      <c r="C191" s="7" t="s">
        <v>64</v>
      </c>
      <c r="D191" s="7" t="s">
        <v>123</v>
      </c>
      <c r="E191" s="7" t="s">
        <v>99</v>
      </c>
      <c r="F191" s="7" t="s">
        <v>92</v>
      </c>
      <c r="G191" s="7" t="s">
        <v>93</v>
      </c>
      <c r="H191" s="8" t="n">
        <v>3</v>
      </c>
      <c r="I191" s="8" t="n">
        <v>1600</v>
      </c>
      <c r="J191" s="9" t="n">
        <v>0.05</v>
      </c>
      <c r="K191" s="8" t="n">
        <v>4560</v>
      </c>
      <c r="L191" s="8" t="n">
        <v>912</v>
      </c>
      <c r="M191" s="7" t="s">
        <v>68</v>
      </c>
    </row>
    <row r="192" customFormat="false" ht="15" hidden="false" customHeight="false" outlineLevel="0" collapsed="false">
      <c r="A192" s="0" t="s">
        <v>274</v>
      </c>
      <c r="B192" s="6" t="n">
        <v>46254</v>
      </c>
      <c r="C192" s="7" t="s">
        <v>70</v>
      </c>
      <c r="D192" s="7" t="s">
        <v>56</v>
      </c>
      <c r="E192" s="7" t="s">
        <v>57</v>
      </c>
      <c r="F192" s="7" t="s">
        <v>47</v>
      </c>
      <c r="G192" s="7" t="s">
        <v>48</v>
      </c>
      <c r="H192" s="8" t="n">
        <v>1</v>
      </c>
      <c r="I192" s="8" t="n">
        <v>800</v>
      </c>
      <c r="J192" s="9" t="n">
        <v>0.15</v>
      </c>
      <c r="K192" s="8" t="n">
        <v>680</v>
      </c>
      <c r="L192" s="8" t="n">
        <v>163.2</v>
      </c>
      <c r="M192" s="7" t="s">
        <v>28</v>
      </c>
    </row>
    <row r="193" customFormat="false" ht="15" hidden="false" customHeight="false" outlineLevel="0" collapsed="false">
      <c r="A193" s="0" t="s">
        <v>275</v>
      </c>
      <c r="B193" s="6" t="n">
        <v>46254</v>
      </c>
      <c r="C193" s="7" t="s">
        <v>36</v>
      </c>
      <c r="D193" s="7" t="s">
        <v>71</v>
      </c>
      <c r="E193" s="7" t="s">
        <v>71</v>
      </c>
      <c r="F193" s="7" t="s">
        <v>26</v>
      </c>
      <c r="G193" s="7" t="s">
        <v>27</v>
      </c>
      <c r="H193" s="8" t="n">
        <v>5</v>
      </c>
      <c r="I193" s="8" t="n">
        <v>25000</v>
      </c>
      <c r="J193" s="9" t="n">
        <v>0.05</v>
      </c>
      <c r="K193" s="8" t="n">
        <v>118750</v>
      </c>
      <c r="L193" s="8" t="n">
        <v>9500</v>
      </c>
      <c r="M193" s="7" t="s">
        <v>39</v>
      </c>
    </row>
    <row r="194" customFormat="false" ht="15" hidden="false" customHeight="false" outlineLevel="0" collapsed="false">
      <c r="A194" s="0" t="s">
        <v>276</v>
      </c>
      <c r="B194" s="6" t="n">
        <v>46255</v>
      </c>
      <c r="C194" s="7" t="s">
        <v>36</v>
      </c>
      <c r="D194" s="7" t="s">
        <v>104</v>
      </c>
      <c r="E194" s="7" t="s">
        <v>18</v>
      </c>
      <c r="F194" s="7" t="s">
        <v>47</v>
      </c>
      <c r="G194" s="7" t="s">
        <v>48</v>
      </c>
      <c r="H194" s="8" t="n">
        <v>4</v>
      </c>
      <c r="I194" s="8" t="n">
        <v>800</v>
      </c>
      <c r="J194" s="9" t="n">
        <v>0.05</v>
      </c>
      <c r="K194" s="8" t="n">
        <v>3040</v>
      </c>
      <c r="L194" s="8" t="n">
        <v>729.6</v>
      </c>
      <c r="M194" s="7" t="s">
        <v>68</v>
      </c>
    </row>
    <row r="195" customFormat="false" ht="15" hidden="false" customHeight="false" outlineLevel="0" collapsed="false">
      <c r="A195" s="0" t="s">
        <v>277</v>
      </c>
      <c r="B195" s="6" t="n">
        <v>46256</v>
      </c>
      <c r="C195" s="7" t="s">
        <v>111</v>
      </c>
      <c r="D195" s="7" t="s">
        <v>51</v>
      </c>
      <c r="E195" s="7" t="s">
        <v>52</v>
      </c>
      <c r="F195" s="7" t="s">
        <v>53</v>
      </c>
      <c r="G195" s="7" t="s">
        <v>27</v>
      </c>
      <c r="H195" s="8" t="n">
        <v>4</v>
      </c>
      <c r="I195" s="8" t="n">
        <v>1800</v>
      </c>
      <c r="J195" s="9" t="n">
        <v>0.1</v>
      </c>
      <c r="K195" s="8" t="n">
        <v>6480</v>
      </c>
      <c r="L195" s="8" t="n">
        <v>1166.4</v>
      </c>
      <c r="M195" s="7" t="s">
        <v>28</v>
      </c>
    </row>
    <row r="196" customFormat="false" ht="15" hidden="false" customHeight="false" outlineLevel="0" collapsed="false">
      <c r="A196" s="0" t="s">
        <v>278</v>
      </c>
      <c r="B196" s="6" t="n">
        <v>46256</v>
      </c>
      <c r="C196" s="7" t="s">
        <v>36</v>
      </c>
      <c r="D196" s="7" t="s">
        <v>51</v>
      </c>
      <c r="E196" s="7" t="s">
        <v>52</v>
      </c>
      <c r="F196" s="7" t="s">
        <v>53</v>
      </c>
      <c r="G196" s="7" t="s">
        <v>27</v>
      </c>
      <c r="H196" s="8" t="n">
        <v>4</v>
      </c>
      <c r="I196" s="8" t="n">
        <v>1800</v>
      </c>
      <c r="J196" s="9" t="n">
        <v>0.15</v>
      </c>
      <c r="K196" s="8" t="n">
        <v>6120</v>
      </c>
      <c r="L196" s="8" t="n">
        <v>1101.6</v>
      </c>
      <c r="M196" s="7" t="s">
        <v>28</v>
      </c>
    </row>
    <row r="197" customFormat="false" ht="15" hidden="false" customHeight="false" outlineLevel="0" collapsed="false">
      <c r="A197" s="0" t="s">
        <v>279</v>
      </c>
      <c r="B197" s="6" t="n">
        <v>46256</v>
      </c>
      <c r="C197" s="7" t="s">
        <v>76</v>
      </c>
      <c r="D197" s="7" t="s">
        <v>41</v>
      </c>
      <c r="E197" s="7" t="s">
        <v>42</v>
      </c>
      <c r="F197" s="7" t="s">
        <v>47</v>
      </c>
      <c r="G197" s="7" t="s">
        <v>48</v>
      </c>
      <c r="H197" s="8" t="n">
        <v>2</v>
      </c>
      <c r="I197" s="8" t="n">
        <v>800</v>
      </c>
      <c r="J197" s="9" t="n">
        <v>0.15</v>
      </c>
      <c r="K197" s="8" t="n">
        <v>1360</v>
      </c>
      <c r="L197" s="8" t="n">
        <v>326.4</v>
      </c>
      <c r="M197" s="7" t="s">
        <v>68</v>
      </c>
    </row>
    <row r="198" customFormat="false" ht="15" hidden="false" customHeight="false" outlineLevel="0" collapsed="false">
      <c r="A198" s="0" t="s">
        <v>280</v>
      </c>
      <c r="B198" s="6" t="n">
        <v>46261</v>
      </c>
      <c r="C198" s="7" t="s">
        <v>23</v>
      </c>
      <c r="D198" s="7" t="s">
        <v>17</v>
      </c>
      <c r="E198" s="7" t="s">
        <v>18</v>
      </c>
      <c r="F198" s="7" t="s">
        <v>47</v>
      </c>
      <c r="G198" s="7" t="s">
        <v>48</v>
      </c>
      <c r="H198" s="8" t="n">
        <v>2</v>
      </c>
      <c r="I198" s="8" t="n">
        <v>800</v>
      </c>
      <c r="J198" s="9" t="n">
        <v>0.15</v>
      </c>
      <c r="K198" s="8" t="n">
        <v>1360</v>
      </c>
      <c r="L198" s="8" t="n">
        <v>326.4</v>
      </c>
      <c r="M198" s="7" t="s">
        <v>68</v>
      </c>
    </row>
    <row r="199" customFormat="false" ht="15" hidden="false" customHeight="false" outlineLevel="0" collapsed="false">
      <c r="A199" s="0" t="s">
        <v>281</v>
      </c>
      <c r="B199" s="6" t="n">
        <v>46263</v>
      </c>
      <c r="C199" s="7" t="s">
        <v>111</v>
      </c>
      <c r="D199" s="7" t="s">
        <v>123</v>
      </c>
      <c r="E199" s="7" t="s">
        <v>99</v>
      </c>
      <c r="F199" s="7" t="s">
        <v>65</v>
      </c>
      <c r="G199" s="7" t="s">
        <v>27</v>
      </c>
      <c r="H199" s="8" t="n">
        <v>1</v>
      </c>
      <c r="I199" s="8" t="n">
        <v>14000</v>
      </c>
      <c r="J199" s="9" t="n">
        <v>0</v>
      </c>
      <c r="K199" s="8" t="n">
        <v>14000</v>
      </c>
      <c r="L199" s="8" t="n">
        <v>1680</v>
      </c>
      <c r="M199" s="7" t="s">
        <v>21</v>
      </c>
    </row>
    <row r="200" customFormat="false" ht="15" hidden="false" customHeight="false" outlineLevel="0" collapsed="false">
      <c r="A200" s="0" t="s">
        <v>282</v>
      </c>
      <c r="B200" s="6" t="n">
        <v>46264</v>
      </c>
      <c r="C200" s="7" t="s">
        <v>23</v>
      </c>
      <c r="D200" s="7" t="s">
        <v>61</v>
      </c>
      <c r="E200" s="7" t="s">
        <v>57</v>
      </c>
      <c r="F200" s="7" t="s">
        <v>26</v>
      </c>
      <c r="G200" s="7" t="s">
        <v>27</v>
      </c>
      <c r="H200" s="8" t="n">
        <v>5</v>
      </c>
      <c r="I200" s="8" t="n">
        <v>25000</v>
      </c>
      <c r="J200" s="9" t="n">
        <v>0.05</v>
      </c>
      <c r="K200" s="8" t="n">
        <v>118750</v>
      </c>
      <c r="L200" s="8" t="n">
        <v>9500</v>
      </c>
      <c r="M200" s="7" t="s">
        <v>34</v>
      </c>
    </row>
    <row r="201" customFormat="false" ht="15" hidden="false" customHeight="false" outlineLevel="0" collapsed="false">
      <c r="A201" s="0" t="s">
        <v>283</v>
      </c>
      <c r="B201" s="6" t="n">
        <v>46264</v>
      </c>
      <c r="C201" s="7" t="s">
        <v>111</v>
      </c>
      <c r="D201" s="7" t="s">
        <v>123</v>
      </c>
      <c r="E201" s="7" t="s">
        <v>99</v>
      </c>
      <c r="F201" s="7" t="s">
        <v>90</v>
      </c>
      <c r="G201" s="7" t="s">
        <v>27</v>
      </c>
      <c r="H201" s="8" t="n">
        <v>1</v>
      </c>
      <c r="I201" s="8" t="n">
        <v>12000</v>
      </c>
      <c r="J201" s="9" t="n">
        <v>0.1</v>
      </c>
      <c r="K201" s="8" t="n">
        <v>10800</v>
      </c>
      <c r="L201" s="8" t="n">
        <v>1080</v>
      </c>
      <c r="M201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.15"/>
    <col collapsed="false" customWidth="true" hidden="false" outlineLevel="0" max="3" min="3" style="0" width="12.15"/>
    <col collapsed="false" customWidth="true" hidden="false" outlineLevel="0" max="4" min="4" style="0" width="13.15"/>
    <col collapsed="false" customWidth="true" hidden="false" outlineLevel="0" max="5" min="5" style="0" width="12.15"/>
    <col collapsed="false" customWidth="true" hidden="false" outlineLevel="0" max="7" min="7" style="0" width="13.15"/>
    <col collapsed="false" customWidth="true" hidden="false" outlineLevel="0" max="8" min="8" style="0" width="12.15"/>
    <col collapsed="false" customWidth="true" hidden="false" outlineLevel="0" max="11" min="10" style="0" width="18"/>
  </cols>
  <sheetData>
    <row r="1" customFormat="false" ht="15" hidden="false" customHeight="false" outlineLevel="0" collapsed="false">
      <c r="A1" s="10" t="s">
        <v>8</v>
      </c>
      <c r="B1" s="11" t="s">
        <v>284</v>
      </c>
      <c r="J1" s="12" t="s">
        <v>285</v>
      </c>
    </row>
    <row r="2" customFormat="false" ht="15" hidden="false" customHeight="false" outlineLevel="0" collapsed="false">
      <c r="A2" s="13" t="s">
        <v>48</v>
      </c>
      <c r="B2" s="14" t="n">
        <v>152660</v>
      </c>
      <c r="J2" s="15" t="s">
        <v>286</v>
      </c>
      <c r="K2" s="15" t="s">
        <v>12</v>
      </c>
    </row>
    <row r="3" customFormat="false" ht="15" hidden="false" customHeight="false" outlineLevel="0" collapsed="false">
      <c r="A3" s="16" t="s">
        <v>27</v>
      </c>
      <c r="B3" s="17" t="n">
        <v>4130025</v>
      </c>
      <c r="J3" s="18" t="s">
        <v>30</v>
      </c>
      <c r="K3" s="19" t="n">
        <f aca="false">SUMIFS('Sales Data'!$K$2:$K$201,'Sales Data'!$D$2:$D$201,J3)</f>
        <v>762847.5</v>
      </c>
    </row>
    <row r="4" customFormat="false" ht="15" hidden="false" customHeight="false" outlineLevel="0" collapsed="false">
      <c r="A4" s="16" t="s">
        <v>33</v>
      </c>
      <c r="B4" s="17" t="n">
        <v>1056725</v>
      </c>
      <c r="J4" s="18" t="s">
        <v>61</v>
      </c>
      <c r="K4" s="19" t="n">
        <f aca="false">SUMIFS('Sales Data'!$K$2:$K$201,'Sales Data'!$D$2:$D$201,J4)</f>
        <v>717970</v>
      </c>
    </row>
    <row r="5" customFormat="false" ht="15" hidden="false" customHeight="false" outlineLevel="0" collapsed="false">
      <c r="A5" s="16" t="s">
        <v>93</v>
      </c>
      <c r="B5" s="17" t="n">
        <v>44000</v>
      </c>
      <c r="J5" s="18" t="s">
        <v>41</v>
      </c>
      <c r="K5" s="19" t="n">
        <f aca="false">SUMIFS('Sales Data'!$K$2:$K$201,'Sales Data'!$D$2:$D$201,J5)</f>
        <v>610375</v>
      </c>
    </row>
    <row r="6" customFormat="false" ht="15" hidden="false" customHeight="false" outlineLevel="0" collapsed="false">
      <c r="A6" s="16" t="s">
        <v>20</v>
      </c>
      <c r="B6" s="20" t="n">
        <v>19559</v>
      </c>
      <c r="J6" s="18" t="s">
        <v>71</v>
      </c>
      <c r="K6" s="19" t="n">
        <f aca="false">SUMIFS('Sales Data'!$K$2:$K$201,'Sales Data'!$D$2:$D$201,J6)</f>
        <v>575840</v>
      </c>
    </row>
    <row r="7" customFormat="false" ht="15" hidden="false" customHeight="false" outlineLevel="0" collapsed="false">
      <c r="A7" s="21" t="s">
        <v>287</v>
      </c>
      <c r="B7" s="22" t="n">
        <v>5402969</v>
      </c>
      <c r="J7" s="18" t="s">
        <v>118</v>
      </c>
      <c r="K7" s="19" t="n">
        <f aca="false">SUMIFS('Sales Data'!$K$2:$K$201,'Sales Data'!$D$2:$D$201,J7)</f>
        <v>446037.5</v>
      </c>
    </row>
    <row r="8" customFormat="false" ht="15" hidden="false" customHeight="false" outlineLevel="0" collapsed="false">
      <c r="J8" s="18" t="s">
        <v>45</v>
      </c>
      <c r="K8" s="19" t="n">
        <f aca="false">SUMIFS('Sales Data'!$K$2:$K$201,'Sales Data'!$D$2:$D$201,J8)</f>
        <v>421632.5</v>
      </c>
    </row>
    <row r="9" customFormat="false" ht="15" hidden="false" customHeight="false" outlineLevel="0" collapsed="false">
      <c r="B9" s="10" t="s">
        <v>7</v>
      </c>
      <c r="C9" s="11" t="s">
        <v>284</v>
      </c>
      <c r="J9" s="18" t="s">
        <v>104</v>
      </c>
      <c r="K9" s="19" t="n">
        <f aca="false">SUMIFS('Sales Data'!$K$2:$K$201,'Sales Data'!$D$2:$D$201,J9)</f>
        <v>395363</v>
      </c>
    </row>
    <row r="10" customFormat="false" ht="15" hidden="false" customHeight="false" outlineLevel="0" collapsed="false">
      <c r="B10" s="13" t="s">
        <v>82</v>
      </c>
      <c r="C10" s="14" t="n">
        <v>95260</v>
      </c>
      <c r="J10" s="18" t="s">
        <v>37</v>
      </c>
      <c r="K10" s="19" t="n">
        <f aca="false">SUMIFS('Sales Data'!$K$2:$K$201,'Sales Data'!$D$2:$D$201,J10)</f>
        <v>287452</v>
      </c>
    </row>
    <row r="11" customFormat="false" ht="15" hidden="false" customHeight="false" outlineLevel="0" collapsed="false">
      <c r="B11" s="16" t="s">
        <v>58</v>
      </c>
      <c r="C11" s="17" t="n">
        <v>326550</v>
      </c>
    </row>
    <row r="12" customFormat="false" ht="15" hidden="false" customHeight="false" outlineLevel="0" collapsed="false">
      <c r="B12" s="16" t="s">
        <v>32</v>
      </c>
      <c r="C12" s="17" t="n">
        <v>431400</v>
      </c>
      <c r="J12" s="12" t="s">
        <v>288</v>
      </c>
    </row>
    <row r="13" customFormat="false" ht="15" hidden="false" customHeight="false" outlineLevel="0" collapsed="false">
      <c r="B13" s="16" t="s">
        <v>43</v>
      </c>
      <c r="C13" s="17" t="n">
        <v>79125</v>
      </c>
      <c r="J13" s="15" t="s">
        <v>286</v>
      </c>
      <c r="K13" s="15" t="s">
        <v>12</v>
      </c>
    </row>
    <row r="14" customFormat="false" ht="15" hidden="false" customHeight="false" outlineLevel="0" collapsed="false">
      <c r="B14" s="16" t="s">
        <v>53</v>
      </c>
      <c r="C14" s="17" t="n">
        <v>101700</v>
      </c>
      <c r="J14" s="18" t="s">
        <v>60</v>
      </c>
      <c r="K14" s="19" t="n">
        <f aca="false">SUMIFS('Sales Data'!$K$2:$K$201,'Sales Data'!$C$2:$C$201,J14)</f>
        <v>602280</v>
      </c>
    </row>
    <row r="15" customFormat="false" ht="15" hidden="false" customHeight="false" outlineLevel="0" collapsed="false">
      <c r="B15" s="16" t="s">
        <v>62</v>
      </c>
      <c r="C15" s="17" t="n">
        <v>2134000</v>
      </c>
      <c r="J15" s="18" t="s">
        <v>113</v>
      </c>
      <c r="K15" s="19" t="n">
        <f aca="false">SUMIFS('Sales Data'!$K$2:$K$201,'Sales Data'!$C$2:$C$201,J15)</f>
        <v>547790</v>
      </c>
    </row>
    <row r="16" customFormat="false" ht="15" hidden="false" customHeight="false" outlineLevel="0" collapsed="false">
      <c r="B16" s="16" t="s">
        <v>65</v>
      </c>
      <c r="C16" s="17" t="n">
        <v>529200</v>
      </c>
      <c r="J16" s="18" t="s">
        <v>36</v>
      </c>
      <c r="K16" s="19" t="n">
        <f aca="false">SUMIFS('Sales Data'!$K$2:$K$201,'Sales Data'!$C$2:$C$201,J16)</f>
        <v>483192.5</v>
      </c>
    </row>
    <row r="17" customFormat="false" ht="15" hidden="false" customHeight="false" outlineLevel="0" collapsed="false">
      <c r="B17" s="16" t="s">
        <v>96</v>
      </c>
      <c r="C17" s="17" t="n">
        <v>33840</v>
      </c>
      <c r="J17" s="18" t="s">
        <v>64</v>
      </c>
      <c r="K17" s="19" t="n">
        <f aca="false">SUMIFS('Sales Data'!$K$2:$K$201,'Sales Data'!$C$2:$C$201,J17)</f>
        <v>461007.5</v>
      </c>
    </row>
    <row r="18" customFormat="false" ht="15" hidden="false" customHeight="false" outlineLevel="0" collapsed="false">
      <c r="B18" s="16" t="s">
        <v>19</v>
      </c>
      <c r="C18" s="17" t="n">
        <v>11675</v>
      </c>
      <c r="D18" s="10" t="s">
        <v>5</v>
      </c>
      <c r="E18" s="11" t="s">
        <v>284</v>
      </c>
      <c r="J18" s="18" t="s">
        <v>87</v>
      </c>
      <c r="K18" s="19" t="n">
        <f aca="false">SUMIFS('Sales Data'!$K$2:$K$201,'Sales Data'!$C$2:$C$201,J18)</f>
        <v>423747.5</v>
      </c>
    </row>
    <row r="19" customFormat="false" ht="15" hidden="false" customHeight="false" outlineLevel="0" collapsed="false">
      <c r="B19" s="16" t="s">
        <v>79</v>
      </c>
      <c r="C19" s="17" t="n">
        <v>298775</v>
      </c>
      <c r="D19" s="13" t="s">
        <v>17</v>
      </c>
      <c r="E19" s="14" t="n">
        <v>124065</v>
      </c>
      <c r="J19" s="18" t="s">
        <v>138</v>
      </c>
      <c r="K19" s="19" t="n">
        <f aca="false">SUMIFS('Sales Data'!$K$2:$K$201,'Sales Data'!$C$2:$C$201,J19)</f>
        <v>383060</v>
      </c>
    </row>
    <row r="20" customFormat="false" ht="15" hidden="false" customHeight="false" outlineLevel="0" collapsed="false">
      <c r="B20" s="16" t="s">
        <v>85</v>
      </c>
      <c r="C20" s="17" t="n">
        <v>7884</v>
      </c>
      <c r="D20" s="16" t="s">
        <v>61</v>
      </c>
      <c r="E20" s="17" t="n">
        <v>717970</v>
      </c>
      <c r="J20" s="18" t="s">
        <v>23</v>
      </c>
      <c r="K20" s="19" t="n">
        <f aca="false">SUMIFS('Sales Data'!$K$2:$K$201,'Sales Data'!$C$2:$C$201,J20)</f>
        <v>378530</v>
      </c>
    </row>
    <row r="21" customFormat="false" ht="15" hidden="false" customHeight="false" outlineLevel="0" collapsed="false">
      <c r="B21" s="16" t="s">
        <v>90</v>
      </c>
      <c r="C21" s="17" t="n">
        <v>246000</v>
      </c>
      <c r="D21" s="16" t="s">
        <v>41</v>
      </c>
      <c r="E21" s="17" t="n">
        <v>610375</v>
      </c>
      <c r="J21" s="18" t="s">
        <v>162</v>
      </c>
      <c r="K21" s="19" t="n">
        <f aca="false">SUMIFS('Sales Data'!$K$2:$K$201,'Sales Data'!$C$2:$C$201,J21)</f>
        <v>328360</v>
      </c>
    </row>
    <row r="22" customFormat="false" ht="15" hidden="false" customHeight="false" outlineLevel="0" collapsed="false">
      <c r="B22" s="16" t="s">
        <v>26</v>
      </c>
      <c r="C22" s="17" t="n">
        <v>1040000</v>
      </c>
      <c r="D22" s="16" t="s">
        <v>123</v>
      </c>
      <c r="E22" s="17" t="n">
        <v>145430</v>
      </c>
    </row>
    <row r="23" customFormat="false" ht="15" hidden="false" customHeight="false" outlineLevel="0" collapsed="false">
      <c r="B23" s="16" t="s">
        <v>92</v>
      </c>
      <c r="C23" s="17" t="n">
        <v>44000</v>
      </c>
      <c r="D23" s="16" t="s">
        <v>51</v>
      </c>
      <c r="E23" s="17" t="n">
        <v>180447.5</v>
      </c>
      <c r="J23" s="12" t="s">
        <v>289</v>
      </c>
    </row>
    <row r="24" customFormat="false" ht="15" hidden="false" customHeight="false" outlineLevel="0" collapsed="false">
      <c r="B24" s="16" t="s">
        <v>47</v>
      </c>
      <c r="C24" s="20" t="n">
        <v>23560</v>
      </c>
      <c r="D24" s="16" t="s">
        <v>71</v>
      </c>
      <c r="E24" s="17" t="n">
        <v>575840</v>
      </c>
      <c r="J24" s="15" t="s">
        <v>286</v>
      </c>
      <c r="K24" s="15" t="s">
        <v>12</v>
      </c>
    </row>
    <row r="25" customFormat="false" ht="15" hidden="false" customHeight="false" outlineLevel="0" collapsed="false">
      <c r="B25" s="21" t="s">
        <v>287</v>
      </c>
      <c r="C25" s="22" t="n">
        <v>5402969</v>
      </c>
      <c r="D25" s="16" t="s">
        <v>24</v>
      </c>
      <c r="E25" s="17" t="n">
        <v>194530</v>
      </c>
      <c r="J25" s="18" t="s">
        <v>27</v>
      </c>
      <c r="K25" s="19" t="n">
        <f aca="false">SUMIFS('Sales Data'!$K$2:$K$201,'Sales Data'!$G$2:$G$201,J25)</f>
        <v>4130025</v>
      </c>
    </row>
    <row r="26" customFormat="false" ht="15" hidden="false" customHeight="false" outlineLevel="0" collapsed="false">
      <c r="D26" s="16" t="s">
        <v>98</v>
      </c>
      <c r="E26" s="17" t="n">
        <v>241715</v>
      </c>
      <c r="J26" s="18" t="s">
        <v>33</v>
      </c>
      <c r="K26" s="19" t="n">
        <f aca="false">SUMIFS('Sales Data'!$K$2:$K$201,'Sales Data'!$G$2:$G$201,J26)</f>
        <v>1056725</v>
      </c>
    </row>
    <row r="27" customFormat="false" ht="15" hidden="false" customHeight="false" outlineLevel="0" collapsed="false">
      <c r="D27" s="16" t="s">
        <v>45</v>
      </c>
      <c r="E27" s="17" t="n">
        <v>421632.5</v>
      </c>
      <c r="J27" s="18" t="s">
        <v>48</v>
      </c>
      <c r="K27" s="19" t="n">
        <f aca="false">SUMIFS('Sales Data'!$K$2:$K$201,'Sales Data'!$G$2:$G$201,J27)</f>
        <v>152660</v>
      </c>
    </row>
    <row r="28" customFormat="false" ht="15" hidden="false" customHeight="false" outlineLevel="0" collapsed="false">
      <c r="D28" s="16" t="s">
        <v>30</v>
      </c>
      <c r="E28" s="17" t="n">
        <v>762847.5</v>
      </c>
      <c r="J28" s="18" t="s">
        <v>93</v>
      </c>
      <c r="K28" s="19" t="n">
        <f aca="false">SUMIFS('Sales Data'!$K$2:$K$201,'Sales Data'!$G$2:$G$201,J28)</f>
        <v>44000</v>
      </c>
    </row>
    <row r="29" customFormat="false" ht="15" hidden="false" customHeight="false" outlineLevel="0" collapsed="false">
      <c r="D29" s="16" t="s">
        <v>104</v>
      </c>
      <c r="E29" s="17" t="n">
        <v>395363</v>
      </c>
      <c r="J29" s="18" t="s">
        <v>20</v>
      </c>
      <c r="K29" s="19" t="n">
        <f aca="false">SUMIFS('Sales Data'!$K$2:$K$201,'Sales Data'!$G$2:$G$201,J29)</f>
        <v>19559</v>
      </c>
    </row>
    <row r="30" customFormat="false" ht="15" hidden="false" customHeight="false" outlineLevel="0" collapsed="false">
      <c r="D30" s="16" t="s">
        <v>81</v>
      </c>
      <c r="E30" s="17" t="n">
        <v>46549</v>
      </c>
    </row>
    <row r="31" customFormat="false" ht="15" hidden="false" customHeight="false" outlineLevel="0" collapsed="false">
      <c r="D31" s="16" t="s">
        <v>118</v>
      </c>
      <c r="E31" s="17" t="n">
        <v>446037.5</v>
      </c>
      <c r="J31" s="12" t="s">
        <v>290</v>
      </c>
    </row>
    <row r="32" customFormat="false" ht="15" hidden="false" customHeight="false" outlineLevel="0" collapsed="false">
      <c r="D32" s="16" t="s">
        <v>37</v>
      </c>
      <c r="E32" s="17" t="n">
        <v>287452</v>
      </c>
      <c r="G32" s="10" t="s">
        <v>14</v>
      </c>
      <c r="H32" s="11" t="s">
        <v>284</v>
      </c>
      <c r="J32" s="15" t="s">
        <v>286</v>
      </c>
      <c r="K32" s="15" t="s">
        <v>12</v>
      </c>
    </row>
    <row r="33" customFormat="false" ht="15" hidden="false" customHeight="false" outlineLevel="0" collapsed="false">
      <c r="D33" s="16" t="s">
        <v>56</v>
      </c>
      <c r="E33" s="20" t="n">
        <v>252715</v>
      </c>
      <c r="G33" s="13" t="s">
        <v>68</v>
      </c>
      <c r="H33" s="14" t="n">
        <v>906145</v>
      </c>
      <c r="J33" s="18" t="s">
        <v>62</v>
      </c>
      <c r="K33" s="19" t="n">
        <f aca="false">SUMIFS('Sales Data'!$K$2:$K$201,'Sales Data'!$F$2:$F$201,J33)</f>
        <v>2134000</v>
      </c>
    </row>
    <row r="34" customFormat="false" ht="15" hidden="false" customHeight="false" outlineLevel="0" collapsed="false">
      <c r="D34" s="21" t="s">
        <v>287</v>
      </c>
      <c r="E34" s="22" t="n">
        <v>5402969</v>
      </c>
      <c r="G34" s="16" t="s">
        <v>39</v>
      </c>
      <c r="H34" s="17" t="n">
        <v>959975</v>
      </c>
      <c r="J34" s="18" t="s">
        <v>26</v>
      </c>
      <c r="K34" s="19" t="n">
        <f aca="false">SUMIFS('Sales Data'!$K$2:$K$201,'Sales Data'!$F$2:$F$201,J34)</f>
        <v>1040000</v>
      </c>
    </row>
    <row r="35" customFormat="false" ht="15" hidden="false" customHeight="false" outlineLevel="0" collapsed="false">
      <c r="G35" s="16" t="s">
        <v>21</v>
      </c>
      <c r="H35" s="17" t="n">
        <v>735322.5</v>
      </c>
      <c r="J35" s="18" t="s">
        <v>65</v>
      </c>
      <c r="K35" s="19" t="n">
        <f aca="false">SUMIFS('Sales Data'!$K$2:$K$201,'Sales Data'!$F$2:$F$201,J35)</f>
        <v>529200</v>
      </c>
    </row>
    <row r="36" customFormat="false" ht="15" hidden="false" customHeight="false" outlineLevel="0" collapsed="false">
      <c r="G36" s="16" t="s">
        <v>28</v>
      </c>
      <c r="H36" s="17" t="n">
        <v>1108051.5</v>
      </c>
      <c r="J36" s="18" t="s">
        <v>32</v>
      </c>
      <c r="K36" s="19" t="n">
        <f aca="false">SUMIFS('Sales Data'!$K$2:$K$201,'Sales Data'!$F$2:$F$201,J36)</f>
        <v>431400</v>
      </c>
    </row>
    <row r="37" customFormat="false" ht="15" hidden="false" customHeight="false" outlineLevel="0" collapsed="false">
      <c r="G37" s="16" t="s">
        <v>34</v>
      </c>
      <c r="H37" s="20" t="n">
        <v>1693475</v>
      </c>
      <c r="J37" s="18" t="s">
        <v>58</v>
      </c>
      <c r="K37" s="19" t="n">
        <f aca="false">SUMIFS('Sales Data'!$K$2:$K$201,'Sales Data'!$F$2:$F$201,J37)</f>
        <v>326550</v>
      </c>
    </row>
    <row r="38" customFormat="false" ht="15" hidden="false" customHeight="false" outlineLevel="0" collapsed="false">
      <c r="G38" s="21" t="s">
        <v>287</v>
      </c>
      <c r="H38" s="22" t="n">
        <v>5402969</v>
      </c>
      <c r="J38" s="18" t="s">
        <v>79</v>
      </c>
      <c r="K38" s="19" t="n">
        <f aca="false">SUMIFS('Sales Data'!$K$2:$K$201,'Sales Data'!$F$2:$F$201,J38)</f>
        <v>298775</v>
      </c>
    </row>
    <row r="39" customFormat="false" ht="15" hidden="false" customHeight="false" outlineLevel="0" collapsed="false">
      <c r="J39" s="18" t="s">
        <v>90</v>
      </c>
      <c r="K39" s="19" t="n">
        <f aca="false">SUMIFS('Sales Data'!$K$2:$K$201,'Sales Data'!$F$2:$F$201,J39)</f>
        <v>246000</v>
      </c>
    </row>
    <row r="40" customFormat="false" ht="15" hidden="false" customHeight="false" outlineLevel="0" collapsed="false">
      <c r="J40" s="18" t="s">
        <v>53</v>
      </c>
      <c r="K40" s="19" t="n">
        <f aca="false">SUMIFS('Sales Data'!$K$2:$K$201,'Sales Data'!$F$2:$F$201,J40)</f>
        <v>101700</v>
      </c>
    </row>
    <row r="42" customFormat="false" ht="15" hidden="false" customHeight="false" outlineLevel="0" collapsed="false">
      <c r="J42" s="12" t="s">
        <v>291</v>
      </c>
    </row>
    <row r="43" customFormat="false" ht="15" hidden="false" customHeight="false" outlineLevel="0" collapsed="false">
      <c r="J43" s="15" t="s">
        <v>286</v>
      </c>
      <c r="K43" s="15" t="s">
        <v>12</v>
      </c>
    </row>
    <row r="44" customFormat="false" ht="15" hidden="false" customHeight="false" outlineLevel="0" collapsed="false">
      <c r="J44" s="18" t="s">
        <v>292</v>
      </c>
      <c r="K44" s="19" t="n">
        <f aca="false">SUMPRODUCT((MONTH('Sales Data'!$B$2:$B$201)=1)*'Sales Data'!$K$2:$K$201)</f>
        <v>815995</v>
      </c>
    </row>
    <row r="45" customFormat="false" ht="15" hidden="false" customHeight="false" outlineLevel="0" collapsed="false">
      <c r="J45" s="18" t="s">
        <v>293</v>
      </c>
      <c r="K45" s="19" t="n">
        <f aca="false">SUMPRODUCT((MONTH('Sales Data'!$B$2:$B$201)=2)*'Sales Data'!$K$2:$K$201)</f>
        <v>480759</v>
      </c>
    </row>
    <row r="46" customFormat="false" ht="15" hidden="false" customHeight="false" outlineLevel="0" collapsed="false">
      <c r="J46" s="18" t="s">
        <v>294</v>
      </c>
      <c r="K46" s="19" t="n">
        <f aca="false">SUMPRODUCT((MONTH('Sales Data'!$B$2:$B$201)=3)*'Sales Data'!$K$2:$K$201)</f>
        <v>400120</v>
      </c>
    </row>
    <row r="47" customFormat="false" ht="15" hidden="false" customHeight="false" outlineLevel="0" collapsed="false">
      <c r="J47" s="18" t="s">
        <v>295</v>
      </c>
      <c r="K47" s="19" t="n">
        <f aca="false">SUMPRODUCT((MONTH('Sales Data'!$B$2:$B$201)=4)*'Sales Data'!$K$2:$K$201)</f>
        <v>786841</v>
      </c>
    </row>
    <row r="48" customFormat="false" ht="15" hidden="false" customHeight="false" outlineLevel="0" collapsed="false">
      <c r="J48" s="18" t="s">
        <v>296</v>
      </c>
      <c r="K48" s="19" t="n">
        <f aca="false">SUMPRODUCT((MONTH('Sales Data'!$B$2:$B$201)=5)*'Sales Data'!$K$2:$K$201)</f>
        <v>821880</v>
      </c>
    </row>
    <row r="49" customFormat="false" ht="15" hidden="false" customHeight="false" outlineLevel="0" collapsed="false">
      <c r="J49" s="18" t="s">
        <v>297</v>
      </c>
      <c r="K49" s="19" t="n">
        <f aca="false">SUMPRODUCT((MONTH('Sales Data'!$B$2:$B$201)=6)*'Sales Data'!$K$2:$K$201)</f>
        <v>810222</v>
      </c>
    </row>
    <row r="50" customFormat="false" ht="15" hidden="false" customHeight="false" outlineLevel="0" collapsed="false">
      <c r="J50" s="18" t="s">
        <v>298</v>
      </c>
      <c r="K50" s="19" t="n">
        <f aca="false">SUMPRODUCT((MONTH('Sales Data'!$B$2:$B$201)=7)*'Sales Data'!$K$2:$K$201)</f>
        <v>757182</v>
      </c>
    </row>
    <row r="51" customFormat="false" ht="15" hidden="false" customHeight="false" outlineLevel="0" collapsed="false">
      <c r="J51" s="18" t="s">
        <v>299</v>
      </c>
      <c r="K51" s="19" t="n">
        <f aca="false">SUMPRODUCT((MONTH('Sales Data'!$B$2:$B$201)=8)*'Sales Data'!$K$2:$K$201)</f>
        <v>529970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2026-09-15T07:08:25Z</dcterms:created>
  <dc:creator>openpyxl</dc:creator>
  <dc:description/>
  <dc:language>en-US</dc:language>
  <cp:lastModifiedBy/>
  <dcterms:modified xsi:type="dcterms:W3CDTF">2026-09-15T18:22:18Z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
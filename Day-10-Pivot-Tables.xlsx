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ivot Data" sheetId="1" state="visible" r:id="rId3"/>
    <sheet name="Pivot Tab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<sst xmlns="http://schemas.openxmlformats.org/spreadsheetml/2006/main" count="63" uniqueCount="22">
  <si>
    <t xml:space="preserve">Date</t>
  </si>
  <si>
    <t xml:space="preserve">Region</t>
  </si>
  <si>
    <t xml:space="preserve">Product ID</t>
  </si>
  <si>
    <t xml:space="preserve">Units</t>
  </si>
  <si>
    <t xml:space="preserve">Unit Price</t>
  </si>
  <si>
    <t xml:space="preserve">Revenue</t>
  </si>
  <si>
    <t xml:space="preserve">North</t>
  </si>
  <si>
    <t xml:space="preserve">P001</t>
  </si>
  <si>
    <t xml:space="preserve">West</t>
  </si>
  <si>
    <t xml:space="preserve">P003</t>
  </si>
  <si>
    <t xml:space="preserve">South</t>
  </si>
  <si>
    <t xml:space="preserve">P005</t>
  </si>
  <si>
    <t xml:space="preserve">East</t>
  </si>
  <si>
    <t xml:space="preserve">P002</t>
  </si>
  <si>
    <t xml:space="preserve">P004</t>
  </si>
  <si>
    <t xml:space="preserve">P006</t>
  </si>
  <si>
    <t xml:space="preserve">P007</t>
  </si>
  <si>
    <t xml:space="preserve">P008</t>
  </si>
  <si>
    <t xml:space="preserve">Sum of Units</t>
  </si>
  <si>
    <t xml:space="preserve">Sum of Revenue</t>
  </si>
  <si>
    <t xml:space="preserve">Average Revenue</t>
  </si>
  <si>
    <t xml:space="preserve">Grand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</si>
</sst>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\₹#,##0"/>
    <numFmt numFmtId="167" formatCode="\₹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0" t="s">
        <v>5</v>
      </c>
    </row>
    <row r="2" customFormat="false" ht="15" hidden="false" customHeight="true" outlineLevel="0" collapsed="false">
      <c r="A2" s="3" t="n">
        <v>46027</v>
      </c>
      <c r="B2" s="4" t="s">
        <v>6</v>
      </c>
      <c r="C2" s="4" t="s">
        <v>7</v>
      </c>
      <c r="D2" s="4" t="n">
        <v>2</v>
      </c>
      <c r="E2" s="5" t="n">
        <v>65000</v>
      </c>
      <c r="F2" s="6" t="n">
        <f aca="false">D2*E2</f>
        <v>130000</v>
      </c>
    </row>
    <row r="3" customFormat="false" ht="15" hidden="false" customHeight="true" outlineLevel="0" collapsed="false">
      <c r="A3" s="3" t="n">
        <v>46030</v>
      </c>
      <c r="B3" s="4" t="s">
        <v>8</v>
      </c>
      <c r="C3" s="4" t="s">
        <v>9</v>
      </c>
      <c r="D3" s="4" t="n">
        <v>10</v>
      </c>
      <c r="E3" s="5" t="n">
        <v>2500</v>
      </c>
      <c r="F3" s="6" t="n">
        <f aca="false">D3*E3</f>
        <v>25000</v>
      </c>
    </row>
    <row r="4" customFormat="false" ht="15" hidden="false" customHeight="true" outlineLevel="0" collapsed="false">
      <c r="A4" s="3" t="n">
        <v>46034</v>
      </c>
      <c r="B4" s="4" t="s">
        <v>10</v>
      </c>
      <c r="C4" s="4" t="s">
        <v>11</v>
      </c>
      <c r="D4" s="4" t="n">
        <v>4</v>
      </c>
      <c r="E4" s="5" t="n">
        <v>12000</v>
      </c>
      <c r="F4" s="6" t="n">
        <f aca="false">D4*E4</f>
        <v>48000</v>
      </c>
    </row>
    <row r="5" customFormat="false" ht="15" hidden="false" customHeight="true" outlineLevel="0" collapsed="false">
      <c r="A5" s="3" t="n">
        <v>46040</v>
      </c>
      <c r="B5" s="4" t="s">
        <v>12</v>
      </c>
      <c r="C5" s="4" t="s">
        <v>13</v>
      </c>
      <c r="D5" s="4" t="n">
        <v>8</v>
      </c>
      <c r="E5" s="5" t="n">
        <v>18000</v>
      </c>
      <c r="F5" s="6" t="n">
        <f aca="false">D5*E5</f>
        <v>144000</v>
      </c>
    </row>
    <row r="6" customFormat="false" ht="15" hidden="false" customHeight="true" outlineLevel="0" collapsed="false">
      <c r="A6" s="3" t="n">
        <v>46056</v>
      </c>
      <c r="B6" s="4" t="s">
        <v>6</v>
      </c>
      <c r="C6" s="4" t="s">
        <v>14</v>
      </c>
      <c r="D6" s="4" t="n">
        <v>15</v>
      </c>
      <c r="E6" s="5" t="n">
        <v>1500</v>
      </c>
      <c r="F6" s="6" t="n">
        <f aca="false">D6*E6</f>
        <v>22500</v>
      </c>
    </row>
    <row r="7" customFormat="false" ht="15" hidden="false" customHeight="true" outlineLevel="0" collapsed="false">
      <c r="A7" s="3" t="n">
        <v>46063</v>
      </c>
      <c r="B7" s="4" t="s">
        <v>8</v>
      </c>
      <c r="C7" s="4" t="s">
        <v>15</v>
      </c>
      <c r="D7" s="4" t="n">
        <v>5</v>
      </c>
      <c r="E7" s="5" t="n">
        <v>9000</v>
      </c>
      <c r="F7" s="6" t="n">
        <f aca="false">D7*E7</f>
        <v>45000</v>
      </c>
    </row>
    <row r="8" customFormat="false" ht="15" hidden="false" customHeight="true" outlineLevel="0" collapsed="false">
      <c r="A8" s="3" t="n">
        <v>46067</v>
      </c>
      <c r="B8" s="4" t="s">
        <v>10</v>
      </c>
      <c r="C8" s="4" t="s">
        <v>16</v>
      </c>
      <c r="D8" s="4" t="n">
        <v>12</v>
      </c>
      <c r="E8" s="5" t="n">
        <v>3500</v>
      </c>
      <c r="F8" s="6" t="n">
        <f aca="false">D8*E8</f>
        <v>42000</v>
      </c>
    </row>
    <row r="9" customFormat="false" ht="15" hidden="false" customHeight="true" outlineLevel="0" collapsed="false">
      <c r="A9" s="3" t="n">
        <v>46074</v>
      </c>
      <c r="B9" s="4" t="s">
        <v>12</v>
      </c>
      <c r="C9" s="4" t="s">
        <v>17</v>
      </c>
      <c r="D9" s="4" t="n">
        <v>3</v>
      </c>
      <c r="E9" s="5" t="n">
        <v>22000</v>
      </c>
      <c r="F9" s="6" t="n">
        <f aca="false">D9*E9</f>
        <v>66000</v>
      </c>
    </row>
    <row r="10" customFormat="false" ht="15" hidden="false" customHeight="true" outlineLevel="0" collapsed="false">
      <c r="A10" s="3" t="n">
        <v>46083</v>
      </c>
      <c r="B10" s="4" t="s">
        <v>6</v>
      </c>
      <c r="C10" s="4" t="s">
        <v>13</v>
      </c>
      <c r="D10" s="4" t="n">
        <v>7</v>
      </c>
      <c r="E10" s="5" t="n">
        <v>18000</v>
      </c>
      <c r="F10" s="6" t="n">
        <f aca="false">D10*E10</f>
        <v>126000</v>
      </c>
    </row>
    <row r="11" customFormat="false" ht="15" hidden="false" customHeight="true" outlineLevel="0" collapsed="false">
      <c r="A11" s="3" t="n">
        <v>46090</v>
      </c>
      <c r="B11" s="4" t="s">
        <v>8</v>
      </c>
      <c r="C11" s="4" t="s">
        <v>7</v>
      </c>
      <c r="D11" s="4" t="n">
        <v>3</v>
      </c>
      <c r="E11" s="5" t="n">
        <v>65000</v>
      </c>
      <c r="F11" s="6" t="n">
        <f aca="false">D11*E11</f>
        <v>195000</v>
      </c>
    </row>
    <row r="12" customFormat="false" ht="15" hidden="false" customHeight="true" outlineLevel="0" collapsed="false">
      <c r="A12" s="3" t="n">
        <v>46096</v>
      </c>
      <c r="B12" s="4" t="s">
        <v>10</v>
      </c>
      <c r="C12" s="4" t="s">
        <v>9</v>
      </c>
      <c r="D12" s="4" t="n">
        <v>20</v>
      </c>
      <c r="E12" s="5" t="n">
        <v>2500</v>
      </c>
      <c r="F12" s="6" t="n">
        <f aca="false">D12*E12</f>
        <v>50000</v>
      </c>
    </row>
    <row r="13" customFormat="false" ht="15" hidden="false" customHeight="true" outlineLevel="0" collapsed="false">
      <c r="A13" s="3" t="n">
        <v>46103</v>
      </c>
      <c r="B13" s="4" t="s">
        <v>12</v>
      </c>
      <c r="C13" s="4" t="s">
        <v>11</v>
      </c>
      <c r="D13" s="4" t="n">
        <v>6</v>
      </c>
      <c r="E13" s="5" t="n">
        <v>12000</v>
      </c>
      <c r="F13" s="6" t="n">
        <f aca="false">D13*E13</f>
        <v>72000</v>
      </c>
    </row>
    <row r="14" customFormat="false" ht="15" hidden="false" customHeight="true" outlineLevel="0" collapsed="false">
      <c r="A14" s="3" t="n">
        <v>46116</v>
      </c>
      <c r="B14" s="4" t="s">
        <v>6</v>
      </c>
      <c r="C14" s="4" t="s">
        <v>15</v>
      </c>
      <c r="D14" s="4" t="n">
        <v>7</v>
      </c>
      <c r="E14" s="5" t="n">
        <v>9000</v>
      </c>
      <c r="F14" s="6" t="n">
        <f aca="false">D14*E14</f>
        <v>63000</v>
      </c>
    </row>
    <row r="15" customFormat="false" ht="15" hidden="false" customHeight="true" outlineLevel="0" collapsed="false">
      <c r="A15" s="3" t="n">
        <v>46123</v>
      </c>
      <c r="B15" s="4" t="s">
        <v>8</v>
      </c>
      <c r="C15" s="4" t="s">
        <v>17</v>
      </c>
      <c r="D15" s="4" t="n">
        <v>4</v>
      </c>
      <c r="E15" s="5" t="n">
        <v>22000</v>
      </c>
      <c r="F15" s="6" t="n">
        <f aca="false">D15*E15</f>
        <v>88000</v>
      </c>
    </row>
    <row r="16" customFormat="false" ht="15" hidden="false" customHeight="true" outlineLevel="0" collapsed="false">
      <c r="A16" s="3" t="n">
        <v>46129</v>
      </c>
      <c r="B16" s="4" t="s">
        <v>10</v>
      </c>
      <c r="C16" s="4" t="s">
        <v>14</v>
      </c>
      <c r="D16" s="4" t="n">
        <v>25</v>
      </c>
      <c r="E16" s="5" t="n">
        <v>1500</v>
      </c>
      <c r="F16" s="6" t="n">
        <f aca="false">D16*E16</f>
        <v>37500</v>
      </c>
    </row>
    <row r="17" customFormat="false" ht="15" hidden="false" customHeight="true" outlineLevel="0" collapsed="false">
      <c r="A17" s="3" t="n">
        <v>46137</v>
      </c>
      <c r="B17" s="4" t="s">
        <v>12</v>
      </c>
      <c r="C17" s="4" t="s">
        <v>16</v>
      </c>
      <c r="D17" s="4" t="n">
        <v>15</v>
      </c>
      <c r="E17" s="5" t="n">
        <v>3500</v>
      </c>
      <c r="F17" s="6" t="n">
        <f aca="false">D17*E17</f>
        <v>52500</v>
      </c>
    </row>
    <row r="18" customFormat="false" ht="15" hidden="false" customHeight="true" outlineLevel="0" collapsed="false">
      <c r="A18" s="3" t="n">
        <v>46148</v>
      </c>
      <c r="B18" s="4" t="s">
        <v>6</v>
      </c>
      <c r="C18" s="4" t="s">
        <v>7</v>
      </c>
      <c r="D18" s="4" t="n">
        <v>1</v>
      </c>
      <c r="E18" s="5" t="n">
        <v>65000</v>
      </c>
      <c r="F18" s="6" t="n">
        <f aca="false">D18*E18</f>
        <v>65000</v>
      </c>
    </row>
    <row r="19" customFormat="false" ht="15" hidden="false" customHeight="true" outlineLevel="0" collapsed="false">
      <c r="A19" s="3" t="n">
        <v>46155</v>
      </c>
      <c r="B19" s="4" t="s">
        <v>8</v>
      </c>
      <c r="C19" s="4" t="s">
        <v>13</v>
      </c>
      <c r="D19" s="4" t="n">
        <v>10</v>
      </c>
      <c r="E19" s="5" t="n">
        <v>18000</v>
      </c>
      <c r="F19" s="6" t="n">
        <f aca="false">D19*E19</f>
        <v>180000</v>
      </c>
    </row>
    <row r="20" customFormat="false" ht="15" hidden="false" customHeight="true" outlineLevel="0" collapsed="false">
      <c r="A20" s="3" t="n">
        <v>46162</v>
      </c>
      <c r="B20" s="4" t="s">
        <v>10</v>
      </c>
      <c r="C20" s="4" t="s">
        <v>15</v>
      </c>
      <c r="D20" s="4" t="n">
        <v>8</v>
      </c>
      <c r="E20" s="5" t="n">
        <v>9000</v>
      </c>
      <c r="F20" s="6" t="n">
        <f aca="false">D20*E20</f>
        <v>72000</v>
      </c>
    </row>
    <row r="21" customFormat="false" ht="15" hidden="false" customHeight="true" outlineLevel="0" collapsed="false">
      <c r="A21" s="3" t="n">
        <v>46169</v>
      </c>
      <c r="B21" s="4" t="s">
        <v>12</v>
      </c>
      <c r="C21" s="4" t="s">
        <v>9</v>
      </c>
      <c r="D21" s="4" t="n">
        <v>30</v>
      </c>
      <c r="E21" s="5" t="n">
        <v>2500</v>
      </c>
      <c r="F21" s="6" t="n">
        <f aca="false">D21*E21</f>
        <v>75000</v>
      </c>
    </row>
    <row r="22" customFormat="false" ht="15" hidden="false" customHeight="true" outlineLevel="0" collapsed="false">
      <c r="A22" s="3" t="n">
        <v>46176</v>
      </c>
      <c r="B22" s="4" t="s">
        <v>6</v>
      </c>
      <c r="C22" s="4" t="s">
        <v>17</v>
      </c>
      <c r="D22" s="4" t="n">
        <v>5</v>
      </c>
      <c r="E22" s="5" t="n">
        <v>22000</v>
      </c>
      <c r="F22" s="6" t="n">
        <f aca="false">D22*E22</f>
        <v>110000</v>
      </c>
    </row>
    <row r="23" customFormat="false" ht="15" hidden="false" customHeight="true" outlineLevel="0" collapsed="false">
      <c r="A23" s="3" t="n">
        <v>46183</v>
      </c>
      <c r="B23" s="4" t="s">
        <v>8</v>
      </c>
      <c r="C23" s="4" t="s">
        <v>14</v>
      </c>
      <c r="D23" s="4" t="n">
        <v>40</v>
      </c>
      <c r="E23" s="5" t="n">
        <v>1500</v>
      </c>
      <c r="F23" s="6" t="n">
        <f aca="false">D23*E23</f>
        <v>60000</v>
      </c>
    </row>
    <row r="24" customFormat="false" ht="15" hidden="false" customHeight="true" outlineLevel="0" collapsed="false">
      <c r="A24" s="3" t="n">
        <v>46190</v>
      </c>
      <c r="B24" s="4" t="s">
        <v>10</v>
      </c>
      <c r="C24" s="4" t="s">
        <v>11</v>
      </c>
      <c r="D24" s="4" t="n">
        <v>5</v>
      </c>
      <c r="E24" s="5" t="n">
        <v>12000</v>
      </c>
      <c r="F24" s="6" t="n">
        <f aca="false">D24*E24</f>
        <v>60000</v>
      </c>
    </row>
    <row r="25" customFormat="false" ht="15" hidden="false" customHeight="true" outlineLevel="0" collapsed="false">
      <c r="A25" s="3" t="n">
        <v>46197</v>
      </c>
      <c r="B25" s="4" t="s">
        <v>12</v>
      </c>
      <c r="C25" s="4" t="s">
        <v>7</v>
      </c>
      <c r="D25" s="4" t="n">
        <v>2</v>
      </c>
      <c r="E25" s="5" t="n">
        <v>65000</v>
      </c>
      <c r="F25" s="6" t="n">
        <f aca="false">D25*E25</f>
        <v>130000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4" min="2" style="1" width="30"/>
  </cols>
  <sheetData>
    <row r="1" customFormat="false" ht="15" hidden="false" customHeight="true" outlineLevel="0" collapsed="false">
      <c r="A1" s="2" t="s">
        <v>1</v>
      </c>
      <c r="B1" s="2" t="s">
        <v>18</v>
      </c>
      <c r="C1" s="2" t="s">
        <v>19</v>
      </c>
      <c r="D1" s="2" t="s">
        <v>20</v>
      </c>
    </row>
    <row r="2" customFormat="false" ht="15" hidden="false" customHeight="true" outlineLevel="0" collapsed="false">
      <c r="A2" s="4" t="s">
        <v>6</v>
      </c>
      <c r="B2" s="4" t="n">
        <f aca="false">SUMIF('Pivot Data'!B2:B25,A2,'Pivot Data'!D2:D25)</f>
        <v>37</v>
      </c>
      <c r="C2" s="7" t="n">
        <f aca="false">SUMIF('Pivot Data'!B2:B25,A2,'Pivot Data'!F2:F25)</f>
        <v>516500</v>
      </c>
      <c r="D2" s="7" t="n">
        <f aca="false">AVERAGEIF('Pivot Data'!B2:B25,A2,'Pivot Data'!F2:F25)</f>
        <v>86083.3333333333</v>
      </c>
    </row>
    <row r="3" customFormat="false" ht="15" hidden="false" customHeight="true" outlineLevel="0" collapsed="false">
      <c r="A3" s="4" t="s">
        <v>8</v>
      </c>
      <c r="B3" s="4" t="n">
        <f aca="false">SUMIF('Pivot Data'!B2:B25,A3,'Pivot Data'!D2:D25)</f>
        <v>72</v>
      </c>
      <c r="C3" s="7" t="n">
        <f aca="false">SUMIF('Pivot Data'!B2:B25,A3,'Pivot Data'!F2:F25)</f>
        <v>593000</v>
      </c>
      <c r="D3" s="7" t="n">
        <f aca="false">AVERAGEIF('Pivot Data'!B2:B25,A3,'Pivot Data'!F2:F25)</f>
        <v>98833.3333333333</v>
      </c>
    </row>
    <row r="4" customFormat="false" ht="15" hidden="false" customHeight="true" outlineLevel="0" collapsed="false">
      <c r="A4" s="4" t="s">
        <v>10</v>
      </c>
      <c r="B4" s="4" t="n">
        <f aca="false">SUMIF('Pivot Data'!B2:B25,A4,'Pivot Data'!D2:D25)</f>
        <v>74</v>
      </c>
      <c r="C4" s="7" t="n">
        <f aca="false">SUMIF('Pivot Data'!B2:B25,A4,'Pivot Data'!F2:F25)</f>
        <v>309500</v>
      </c>
      <c r="D4" s="7" t="n">
        <f aca="false">AVERAGEIF('Pivot Data'!B2:B25,A4,'Pivot Data'!F2:F25)</f>
        <v>51583.3333333333</v>
      </c>
    </row>
    <row r="5" customFormat="false" ht="15" hidden="false" customHeight="true" outlineLevel="0" collapsed="false">
      <c r="A5" s="4" t="s">
        <v>12</v>
      </c>
      <c r="B5" s="4" t="n">
        <f aca="false">SUMIF('Pivot Data'!B2:B25,A5,'Pivot Data'!D2:D25)</f>
        <v>64</v>
      </c>
      <c r="C5" s="7" t="n">
        <f aca="false">SUMIF('Pivot Data'!B2:B25,A5,'Pivot Data'!F2:F25)</f>
        <v>539500</v>
      </c>
      <c r="D5" s="7" t="n">
        <f aca="false">AVERAGEIF('Pivot Data'!B2:B25,A5,'Pivot Data'!F2:F25)</f>
        <v>89916.6666666667</v>
      </c>
    </row>
    <row r="6" customFormat="false" ht="15" hidden="false" customHeight="true" outlineLevel="0" collapsed="false">
      <c r="A6" s="4" t="s">
        <v>21</v>
      </c>
      <c r="B6" s="4" t="n">
        <f aca="false">SUM(B2:B5)</f>
        <v>247</v>
      </c>
      <c r="C6" s="7" t="n">
        <f aca="false">SUM(C2:C5)</f>
        <v>1958500</v>
      </c>
      <c r="D6" s="7" t="n">
        <f aca="false">AVERAGE(C2:C5)</f>
        <v>489625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